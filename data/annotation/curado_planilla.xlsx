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Anotación" sheetId="2" state="visible" r:id="rId2"/>
    <sheet name="Resumen" sheetId="3" state="visible" r:id="rId3"/>
  </sheets>
  <definedNames>
    <definedName name="_xlnm._FilterDatabase" localSheetId="1" hidden="1">'Anotación'!$A$1:$U$91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sz val="10"/>
    </font>
    <font>
      <name val="Arial"/>
      <b val="1"/>
      <sz val="10"/>
    </font>
    <font>
      <name val="Arial"/>
      <color rgb="001F5FAD"/>
      <sz val="10"/>
      <u val="single"/>
    </font>
  </fonts>
  <fills count="4">
    <fill>
      <patternFill/>
    </fill>
    <fill>
      <patternFill patternType="gray125"/>
    </fill>
    <fill>
      <patternFill patternType="solid">
        <fgColor rgb="00E7E6E1"/>
      </patternFill>
    </fill>
    <fill>
      <patternFill patternType="solid">
        <fgColor rgb="00FFF2CC"/>
      </patternFill>
    </fill>
  </fills>
  <borders count="2">
    <border>
      <left/>
      <right/>
      <top/>
      <bottom/>
      <diagonal/>
    </border>
    <border>
      <bottom style="thin">
        <color rgb="00D0CFC9"/>
      </bottom>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0" borderId="0" pivotButton="0" quotePrefix="0" xfId="0"/>
    <xf numFmtId="0" fontId="2" fillId="0" borderId="0" pivotButton="0" quotePrefix="0" xfId="0"/>
    <xf numFmtId="0" fontId="3" fillId="2" borderId="0" applyAlignment="1" pivotButton="0" quotePrefix="0" xfId="0">
      <alignment vertical="center" wrapText="1"/>
    </xf>
    <xf numFmtId="0" fontId="2" fillId="0" borderId="1" applyAlignment="1" pivotButton="0" quotePrefix="0" xfId="0">
      <alignment vertical="top" wrapText="1"/>
    </xf>
    <xf numFmtId="0" fontId="4" fillId="0" borderId="1" applyAlignment="1" pivotButton="0" quotePrefix="0" xfId="0">
      <alignment vertical="top" wrapText="1"/>
    </xf>
    <xf numFmtId="0" fontId="2" fillId="3" borderId="1" applyAlignment="1" pivotButton="0" quotePrefix="0" xfId="0">
      <alignment vertical="top" wrapText="1"/>
    </xf>
    <xf numFmtId="9" fontId="2" fillId="0" borderId="0" pivotButton="0" quotePrefix="0" xfId="0"/>
  </cellXfs>
  <cellStyles count="1">
    <cellStyle name="Normal" xfId="0" builtinId="0" hidden="0"/>
  </cellStyles>
  <dxfs count="1">
    <dxf>
      <fill>
        <patternFill patternType="solid">
          <fgColor rgb="00F8D7D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diccionarioargentino.com/term/gira" TargetMode="External" Id="rId1" /><Relationship Type="http://schemas.openxmlformats.org/officeDocument/2006/relationships/hyperlink" Target="https://www.diccionarioargentino.com/term/Chamuyo+" TargetMode="External" Id="rId2" /><Relationship Type="http://schemas.openxmlformats.org/officeDocument/2006/relationships/hyperlink" Target="https://www.diccionarioargentino.com/term/bot%C3%B3n" TargetMode="External" Id="rId3" /><Relationship Type="http://schemas.openxmlformats.org/officeDocument/2006/relationships/hyperlink" Target="https://www.diccionarioargentino.com/term/Burra" TargetMode="External" Id="rId4" /><Relationship Type="http://schemas.openxmlformats.org/officeDocument/2006/relationships/hyperlink" Target="https://www.diccionarioargentino.com/term/morocho" TargetMode="External" Id="rId5" /><Relationship Type="http://schemas.openxmlformats.org/officeDocument/2006/relationships/hyperlink" Target="https://www.diccionarioargentino.com/term/Timba" TargetMode="External" Id="rId6" /><Relationship Type="http://schemas.openxmlformats.org/officeDocument/2006/relationships/hyperlink" Target="https://www.diccionarioargentino.com/term/Manija" TargetMode="External" Id="rId7" /><Relationship Type="http://schemas.openxmlformats.org/officeDocument/2006/relationships/hyperlink" Target="https://www.diccionarioargentino.com/term/viejo" TargetMode="External" Id="rId8" /><Relationship Type="http://schemas.openxmlformats.org/officeDocument/2006/relationships/hyperlink" Target="https://www.diccionarioargentino.com/term/macana" TargetMode="External" Id="rId9" /><Relationship Type="http://schemas.openxmlformats.org/officeDocument/2006/relationships/hyperlink" Target="https://www.diccionarioargentino.com/term/pico" TargetMode="External" Id="rId10" /><Relationship Type="http://schemas.openxmlformats.org/officeDocument/2006/relationships/hyperlink" Target="https://www.diccionarioargentino.com/term/cana" TargetMode="External" Id="rId11" /><Relationship Type="http://schemas.openxmlformats.org/officeDocument/2006/relationships/hyperlink" Target="https://www.diccionarioargentino.com/term/mango" TargetMode="External" Id="rId12" /><Relationship Type="http://schemas.openxmlformats.org/officeDocument/2006/relationships/hyperlink" Target="https://www.diccionarioargentino.com/term/Gil" TargetMode="External" Id="rId13" /><Relationship Type="http://schemas.openxmlformats.org/officeDocument/2006/relationships/hyperlink" Target="https://www.diccionarioargentino.com/term/piola" TargetMode="External" Id="rId14" /><Relationship Type="http://schemas.openxmlformats.org/officeDocument/2006/relationships/hyperlink" Target="https://www.diccionarioargentino.com/term/curro" TargetMode="External" Id="rId15" /><Relationship Type="http://schemas.openxmlformats.org/officeDocument/2006/relationships/hyperlink" Target="https://www.diccionarioargentino.com/term/Pendejo" TargetMode="External" Id="rId16" /><Relationship Type="http://schemas.openxmlformats.org/officeDocument/2006/relationships/hyperlink" Target="https://www.diccionarioargentino.com/term/guita" TargetMode="External" Id="rId17" /><Relationship Type="http://schemas.openxmlformats.org/officeDocument/2006/relationships/hyperlink" Target="https://www.diccionarioargentino.com/term/chabon" TargetMode="External" Id="rId18" /><Relationship Type="http://schemas.openxmlformats.org/officeDocument/2006/relationships/hyperlink" Target="https://www.diccionarioargentino.com/term/quilombo" TargetMode="External" Id="rId19" /><Relationship Type="http://schemas.openxmlformats.org/officeDocument/2006/relationships/hyperlink" Target="https://www.diccionarioargentino.com/term/capo" TargetMode="External" Id="rId20" /><Relationship Type="http://schemas.openxmlformats.org/officeDocument/2006/relationships/hyperlink" Target="https://www.diccionarioargentino.com/term/birra" TargetMode="External" Id="rId21" /><Relationship Type="http://schemas.openxmlformats.org/officeDocument/2006/relationships/hyperlink" Target="https://www.diccionarioargentino.com/term/fierro" TargetMode="External" Id="rId22" /><Relationship Type="http://schemas.openxmlformats.org/officeDocument/2006/relationships/hyperlink" Target="https://www.diccionarioargentino.com/term/turro" TargetMode="External" Id="rId23" /><Relationship Type="http://schemas.openxmlformats.org/officeDocument/2006/relationships/hyperlink" Target="https://www.diccionarioargentino.com/term/boludo" TargetMode="External" Id="rId24" /><Relationship Type="http://schemas.openxmlformats.org/officeDocument/2006/relationships/hyperlink" Target="https://www.diccionarioargentino.com/term/Mate" TargetMode="External" Id="rId25" /><Relationship Type="http://schemas.openxmlformats.org/officeDocument/2006/relationships/hyperlink" Target="https://www.diccionarioargentino.com/term/Cargar" TargetMode="External" Id="rId26" /><Relationship Type="http://schemas.openxmlformats.org/officeDocument/2006/relationships/hyperlink" Target="https://www.diccionarioargentino.com/term/porte%C3%B1o" TargetMode="External" Id="rId27" /><Relationship Type="http://schemas.openxmlformats.org/officeDocument/2006/relationships/hyperlink" Target="https://www.diccionarioargentino.com/term/pinta" TargetMode="External" Id="rId28" /><Relationship Type="http://schemas.openxmlformats.org/officeDocument/2006/relationships/hyperlink" Target="https://www.diccionarioargentino.com/term/junar" TargetMode="External" Id="rId29" /><Relationship Type="http://schemas.openxmlformats.org/officeDocument/2006/relationships/hyperlink" Target="https://www.diccionarioargentino.com/term/Logi" TargetMode="External" Id="rId30" /><Relationship Type="http://schemas.openxmlformats.org/officeDocument/2006/relationships/hyperlink" Target="https://www.diccionarioargentino.com/term/boliche" TargetMode="External" Id="rId31" /><Relationship Type="http://schemas.openxmlformats.org/officeDocument/2006/relationships/hyperlink" Target="https://www.diccionarioargentino.com/term/Rajar" TargetMode="External" Id="rId32" /><Relationship Type="http://schemas.openxmlformats.org/officeDocument/2006/relationships/hyperlink" Target="https://www.diccionarioargentino.com/term/percanta" TargetMode="External" Id="rId33" /><Relationship Type="http://schemas.openxmlformats.org/officeDocument/2006/relationships/hyperlink" Target="https://www.diccionarioargentino.com/term/mina" TargetMode="External" Id="rId34" /><Relationship Type="http://schemas.openxmlformats.org/officeDocument/2006/relationships/hyperlink" Target="https://www.diccionarioargentino.com/term/Curtir" TargetMode="External" Id="rId35" /><Relationship Type="http://schemas.openxmlformats.org/officeDocument/2006/relationships/hyperlink" Target="https://www.diccionarioargentino.com/term/fumar" TargetMode="External" Id="rId36" /><Relationship Type="http://schemas.openxmlformats.org/officeDocument/2006/relationships/hyperlink" Target="https://www.diccionarioargentino.com/term/careta" TargetMode="External" Id="rId37" /><Relationship Type="http://schemas.openxmlformats.org/officeDocument/2006/relationships/hyperlink" Target="https://www.diccionarioargentino.com/term/remera" TargetMode="External" Id="rId38" /><Relationship Type="http://schemas.openxmlformats.org/officeDocument/2006/relationships/hyperlink" Target="https://www.diccionarioargentino.com/term/Trap" TargetMode="External" Id="rId39" /><Relationship Type="http://schemas.openxmlformats.org/officeDocument/2006/relationships/hyperlink" Target="https://www.diccionarioargentino.com/term/chorro" TargetMode="External" Id="rId40" /><Relationship Type="http://schemas.openxmlformats.org/officeDocument/2006/relationships/hyperlink" Target="https://www.diccionarioargentino.com/term/faso" TargetMode="External" Id="rId41" /><Relationship Type="http://schemas.openxmlformats.org/officeDocument/2006/relationships/hyperlink" Target="https://www.diccionarioargentino.com/term/quemar" TargetMode="External" Id="rId42" /><Relationship Type="http://schemas.openxmlformats.org/officeDocument/2006/relationships/hyperlink" Target="https://www.diccionarioargentino.com/term/yuta" TargetMode="External" Id="rId43" /><Relationship Type="http://schemas.openxmlformats.org/officeDocument/2006/relationships/hyperlink" Target="https://www.diccionarioargentino.com/term/salado" TargetMode="External" Id="rId44" /><Relationship Type="http://schemas.openxmlformats.org/officeDocument/2006/relationships/hyperlink" Target="https://www.diccionarioargentino.com/term/pucho" TargetMode="External" Id="rId45" /><Relationship Type="http://schemas.openxmlformats.org/officeDocument/2006/relationships/hyperlink" Target="https://www.diccionarioargentino.com/term/joder" TargetMode="External" Id="rId46" /><Relationship Type="http://schemas.openxmlformats.org/officeDocument/2006/relationships/hyperlink" Target="https://www.diccionarioargentino.com/term/trucho" TargetMode="External" Id="rId47" /><Relationship Type="http://schemas.openxmlformats.org/officeDocument/2006/relationships/hyperlink" Target="https://www.diccionarioargentino.com/term/Duro" TargetMode="External" Id="rId48" /><Relationship Type="http://schemas.openxmlformats.org/officeDocument/2006/relationships/hyperlink" Target="https://www.diccionarioargentino.com/term/Guarda" TargetMode="External" Id="rId49" /><Relationship Type="http://schemas.openxmlformats.org/officeDocument/2006/relationships/hyperlink" Target="https://www.diccionarioargentino.com/term/Corte" TargetMode="External" Id="rId50" /><Relationship Type="http://schemas.openxmlformats.org/officeDocument/2006/relationships/hyperlink" Target="https://www.diccionarioargentino.com/term/batir" TargetMode="External" Id="rId51" /><Relationship Type="http://schemas.openxmlformats.org/officeDocument/2006/relationships/hyperlink" Target="https://www.diccionarioargentino.com/term/bacan" TargetMode="External" Id="rId52" /><Relationship Type="http://schemas.openxmlformats.org/officeDocument/2006/relationships/hyperlink" Target="https://www.diccionarioargentino.com/term/quebrar" TargetMode="External" Id="rId53" /><Relationship Type="http://schemas.openxmlformats.org/officeDocument/2006/relationships/hyperlink" Target="https://www.diccionarioargentino.com/term/gato" TargetMode="External" Id="rId54" /><Relationship Type="http://schemas.openxmlformats.org/officeDocument/2006/relationships/hyperlink" Target="https://www.diccionarioargentino.com/term/Colgar" TargetMode="External" Id="rId55" /><Relationship Type="http://schemas.openxmlformats.org/officeDocument/2006/relationships/hyperlink" Target="https://www.diccionarioargentino.com/term/verdes" TargetMode="External" Id="rId56" /></Relationships>
</file>

<file path=xl/worksheets/sheet1.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20" customWidth="1" min="1" max="1"/>
  </cols>
  <sheetData>
    <row r="1">
      <c r="A1" s="1" t="inlineStr">
        <is>
          <t>LunfaBench · Planilla del conjunto curado</t>
        </is>
      </c>
    </row>
    <row r="3">
      <c r="A3" s="2" t="inlineStr">
        <is>
          <t>Son los 90 términos del conjunto curado: 40 falsos amigos, 20 sin homónimo, 15 polisémicos y 15 controles, mezclados. Cada uno trae dos fragmentos reales (A y B) de canciones de artistas de Buenos Aires.</t>
        </is>
      </c>
    </row>
    <row r="4">
      <c r="A4" s="3" t="inlineStr">
        <is>
          <t>Qué hace cada anotador</t>
        </is>
      </c>
    </row>
    <row r="5">
      <c r="A5" s="2" t="inlineStr">
        <is>
          <t>1. Escribí tu nombre en «anotador». Cada fila la anotan dos personas, por separado: no mires la columna de la otra persona hasta terminar.</t>
        </is>
      </c>
    </row>
    <row r="6">
      <c r="A6" s="2" t="inlineStr">
        <is>
          <t>2. En «capa», elegí de la lista qué tipo de palabra es, pensando en Buenos Aires:</t>
        </is>
      </c>
    </row>
    <row r="7">
      <c r="A7" s="2" t="inlineStr">
        <is>
          <t xml:space="preserve">   falso_amigo: tiene una acepción de España o México que acá no se usa (curro: acá negocio turbio, en España trabajo).</t>
        </is>
      </c>
    </row>
    <row r="8">
      <c r="A8" s="2" t="inlineStr">
        <is>
          <t xml:space="preserve">   polisemico_interno: tiene varias acepciones y todas se usan acá (pileta: piscina y pileta de la cocina).</t>
        </is>
      </c>
    </row>
    <row r="9">
      <c r="A9" s="2" t="inlineStr">
        <is>
          <t xml:space="preserve">   lunfardo_sin_homonimo: no existe con otro sentido en España ni en México (bondi, chamuyo).</t>
        </is>
      </c>
    </row>
    <row r="10">
      <c r="A10" s="2" t="inlineStr">
        <is>
          <t xml:space="preserve">   espanol_general: es una palabra común del español, que significa lo mismo en todos lados (ventana).</t>
        </is>
      </c>
    </row>
    <row r="11">
      <c r="A11" s="2" t="inlineStr">
        <is>
          <t>3. En «fragmento», elegí A o B: el que usa la acepción de referencia. Si los dos la usan, el que mejor se entienda. Si ninguno, el más cercano, y contalo en «comentario».</t>
        </is>
      </c>
    </row>
    <row r="12">
      <c r="A12" s="2" t="inlineStr">
        <is>
          <t>4. Si elegiste falso_amigo, escribí la acepción competidora y dónde se usa, por ejemplo «trabajo (España)».</t>
        </is>
      </c>
    </row>
    <row r="13">
      <c r="A13" s="2" t="inlineStr">
        <is>
          <t>Se puede consultar el DLE y el Diccionario de americanismos. No consultes Wiktionary ni Wikcionario: son la fuente del filtro automático y el acuerdo quedaría inflado.</t>
        </is>
      </c>
    </row>
    <row r="14">
      <c r="A14" s="3" t="inlineStr">
        <is>
          <t>Después: decisión final</t>
        </is>
      </c>
    </row>
    <row r="15">
      <c r="A15" s="2" t="inlineStr">
        <is>
          <t>Cuando los dos anotadores terminan, las columnas «coincide» se completan solas. Si coinciden, copien la respuesta en «capa final» y «fragmento final»; si no, discútanla y dejen el motivo en «comentario».</t>
        </is>
      </c>
    </row>
    <row r="16">
      <c r="A16" s="3" t="inlineStr">
        <is>
          <t>Celdas a completar</t>
        </is>
      </c>
    </row>
    <row r="17">
      <c r="A17" s="2" t="inlineStr">
        <is>
          <t>Solo las celdas amarillas de la hoja Anotación. Las demás vienen del pipeline o son fórmulas. La hoja Resumen muestra el avance y el acuerdo.</t>
        </is>
      </c>
    </row>
    <row r="18">
      <c r="A18" s="3" t="inlineStr">
        <is>
          <t>Ejemplo de fila completa (el término no está en la planilla)</t>
        </is>
      </c>
    </row>
    <row r="20">
      <c r="A20" s="4" t="inlineStr">
        <is>
          <t>término</t>
        </is>
      </c>
      <c r="B20" s="4" t="inlineStr">
        <is>
          <t>acepción de referencia</t>
        </is>
      </c>
      <c r="C20" s="4" t="inlineStr">
        <is>
          <t>anotador 1</t>
        </is>
      </c>
      <c r="D20" s="4" t="inlineStr">
        <is>
          <t>capa 1</t>
        </is>
      </c>
      <c r="E20" s="4" t="inlineStr">
        <is>
          <t>fragmento 1</t>
        </is>
      </c>
      <c r="F20" s="4" t="inlineStr">
        <is>
          <t>acepción competidora 1</t>
        </is>
      </c>
    </row>
    <row r="21">
      <c r="A21" s="5" t="inlineStr">
        <is>
          <t>torta</t>
        </is>
      </c>
      <c r="B21" s="5" t="inlineStr"/>
      <c r="C21" s="5" t="inlineStr">
        <is>
          <t>Tomás</t>
        </is>
      </c>
      <c r="D21" s="5" t="inlineStr">
        <is>
          <t>falso_amigo</t>
        </is>
      </c>
      <c r="E21" s="5" t="inlineStr">
        <is>
          <t>A</t>
        </is>
      </c>
      <c r="F21" s="5" t="inlineStr">
        <is>
          <t>(la acepción de España o México)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9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42" customWidth="1" min="3" max="3"/>
    <col width="16" customWidth="1" min="4" max="4"/>
    <col width="46" customWidth="1" min="5" max="5"/>
    <col width="24" customWidth="1" min="6" max="6"/>
    <col width="46" customWidth="1" min="7" max="7"/>
    <col width="24" customWidth="1" min="8" max="8"/>
    <col width="11" customWidth="1" min="9" max="9"/>
    <col width="20" customWidth="1" min="10" max="10"/>
    <col width="11" customWidth="1" min="11" max="11"/>
    <col width="24" customWidth="1" min="12" max="12"/>
    <col width="11" customWidth="1" min="13" max="13"/>
    <col width="20" customWidth="1" min="14" max="14"/>
    <col width="11" customWidth="1" min="15" max="15"/>
    <col width="24" customWidth="1" min="16" max="16"/>
    <col width="9" customWidth="1" min="17" max="17"/>
    <col width="10" customWidth="1" min="18" max="18"/>
    <col width="20" customWidth="1" min="19" max="19"/>
    <col width="11" customWidth="1" min="20" max="20"/>
    <col width="30" customWidth="1" min="21" max="21"/>
  </cols>
  <sheetData>
    <row r="1">
      <c r="A1" s="6" t="inlineStr">
        <is>
          <t>id</t>
        </is>
      </c>
      <c r="B1" s="6" t="inlineStr">
        <is>
          <t>término</t>
        </is>
      </c>
      <c r="C1" s="6" t="inlineStr">
        <is>
          <t>acepción de referencia</t>
        </is>
      </c>
      <c r="D1" s="6" t="inlineStr">
        <is>
          <t>fuente</t>
        </is>
      </c>
      <c r="E1" s="6" t="inlineStr">
        <is>
          <t>fragmento A</t>
        </is>
      </c>
      <c r="F1" s="6" t="inlineStr">
        <is>
          <t>canción A</t>
        </is>
      </c>
      <c r="G1" s="6" t="inlineStr">
        <is>
          <t>fragmento B</t>
        </is>
      </c>
      <c r="H1" s="6" t="inlineStr">
        <is>
          <t>canción B</t>
        </is>
      </c>
      <c r="I1" s="6" t="inlineStr">
        <is>
          <t>anotador 1</t>
        </is>
      </c>
      <c r="J1" s="6" t="inlineStr">
        <is>
          <t>capa 1</t>
        </is>
      </c>
      <c r="K1" s="6" t="inlineStr">
        <is>
          <t>fragmento 1</t>
        </is>
      </c>
      <c r="L1" s="6" t="inlineStr">
        <is>
          <t>acepción competidora 1</t>
        </is>
      </c>
      <c r="M1" s="6" t="inlineStr">
        <is>
          <t>anotador 2</t>
        </is>
      </c>
      <c r="N1" s="6" t="inlineStr">
        <is>
          <t>capa 2</t>
        </is>
      </c>
      <c r="O1" s="6" t="inlineStr">
        <is>
          <t>fragmento 2</t>
        </is>
      </c>
      <c r="P1" s="6" t="inlineStr">
        <is>
          <t>acepción competidora 2</t>
        </is>
      </c>
      <c r="Q1" s="6" t="inlineStr">
        <is>
          <t>coincide capa</t>
        </is>
      </c>
      <c r="R1" s="6" t="inlineStr">
        <is>
          <t>coincide fragmento</t>
        </is>
      </c>
      <c r="S1" s="6" t="inlineStr">
        <is>
          <t>capa final</t>
        </is>
      </c>
      <c r="T1" s="6" t="inlineStr">
        <is>
          <t>fragmento final</t>
        </is>
      </c>
      <c r="U1" s="6" t="inlineStr">
        <is>
          <t>comentario</t>
        </is>
      </c>
    </row>
    <row r="2" ht="45" customHeight="1">
      <c r="A2" s="7" t="inlineStr">
        <is>
          <t>CUR-001</t>
        </is>
      </c>
      <c r="B2" s="7" t="inlineStr">
        <is>
          <t>gira</t>
        </is>
      </c>
      <c r="C2" s="7" t="inlineStr">
        <is>
          <t>Ir a muchos lugares en un mismo día Habitualmente se lo usa cuando salen a varias fiestas una misma noche</t>
        </is>
      </c>
      <c r="D2" s="8" t="inlineStr">
        <is>
          <t>diccionarioargentino.com</t>
        </is>
      </c>
      <c r="E2" s="7" t="inlineStr">
        <is>
          <t>quiero a todos los pibe' cantina / Y que levanten bien la mano los que se bancan la gira / No tomo Chandon, me sirve el Federico</t>
        </is>
      </c>
      <c r="F2" s="7" t="inlineStr">
        <is>
          <t>Tamo Chelo · El Noba (2021)</t>
        </is>
      </c>
      <c r="G2" s="7" t="inlineStr">
        <is>
          <t>Maniac in my mind en medio de la ciudad / Girl, gira el volante del todo / Boxea sin guantes que es lo que quieren todos</t>
        </is>
      </c>
      <c r="H2" s="7" t="inlineStr">
        <is>
          <t>KAMIKAZE · Sofía Gabanna (2023)</t>
        </is>
      </c>
      <c r="I2" s="9" t="inlineStr"/>
      <c r="J2" s="9" t="inlineStr"/>
      <c r="K2" s="9" t="inlineStr"/>
      <c r="L2" s="9" t="inlineStr"/>
      <c r="M2" s="9" t="inlineStr"/>
      <c r="N2" s="9" t="inlineStr"/>
      <c r="O2" s="9" t="inlineStr"/>
      <c r="P2" s="9" t="inlineStr"/>
      <c r="Q2" s="7">
        <f>IF(OR(J2="",N2=""),"",IF(J2=N2,"sí","no"))</f>
        <v/>
      </c>
      <c r="R2" s="7">
        <f>IF(OR(K2="",O2=""),"",IF(K2=O2,"sí","no"))</f>
        <v/>
      </c>
      <c r="S2" s="9" t="inlineStr"/>
      <c r="T2" s="9" t="inlineStr"/>
      <c r="U2" s="9" t="inlineStr"/>
    </row>
    <row r="3" ht="45" customHeight="1">
      <c r="A3" s="7" t="inlineStr">
        <is>
          <t>CUR-002</t>
        </is>
      </c>
      <c r="B3" s="7" t="inlineStr">
        <is>
          <t>idear</t>
        </is>
      </c>
      <c r="C3" s="7" t="inlineStr">
        <is>
          <t>Concebir algo nuevo con la imaginación.</t>
        </is>
      </c>
      <c r="D3" s="7" t="inlineStr">
        <is>
          <t>Wikcionario</t>
        </is>
      </c>
      <c r="E3" s="7" t="inlineStr">
        <is>
          <t>Sabiendo que no quiero que te quedes / El hacedor de ideas se estrella en su carrera / La dirección del tiempo es frágil y se tienta</t>
        </is>
      </c>
      <c r="F3" s="7" t="inlineStr">
        <is>
          <t>Pinamar · Francisco Bochatón</t>
        </is>
      </c>
      <c r="G3" s="7" t="inlineStr">
        <is>
          <t>Al anochecer seducido de tensión / Vuela sin control ideando la misión / Vértigo inmoral, juicio sin identidad</t>
        </is>
      </c>
      <c r="H3" s="7" t="inlineStr">
        <is>
          <t>Adicto · D-mente</t>
        </is>
      </c>
      <c r="I3" s="9" t="inlineStr"/>
      <c r="J3" s="9" t="inlineStr"/>
      <c r="K3" s="9" t="inlineStr"/>
      <c r="L3" s="9" t="inlineStr"/>
      <c r="M3" s="9" t="inlineStr"/>
      <c r="N3" s="9" t="inlineStr"/>
      <c r="O3" s="9" t="inlineStr"/>
      <c r="P3" s="9" t="inlineStr"/>
      <c r="Q3" s="7">
        <f>IF(OR(J3="",N3=""),"",IF(J3=N3,"sí","no"))</f>
        <v/>
      </c>
      <c r="R3" s="7">
        <f>IF(OR(K3="",O3=""),"",IF(K3=O3,"sí","no"))</f>
        <v/>
      </c>
      <c r="S3" s="9" t="inlineStr"/>
      <c r="T3" s="9" t="inlineStr"/>
      <c r="U3" s="9" t="inlineStr"/>
    </row>
    <row r="4" ht="30" customHeight="1">
      <c r="A4" s="7" t="inlineStr">
        <is>
          <t>CUR-003</t>
        </is>
      </c>
      <c r="B4" s="7" t="inlineStr">
        <is>
          <t>chamuyo</t>
        </is>
      </c>
      <c r="C4" s="7" t="inlineStr">
        <is>
          <t>Hablarle a una persona con un propósito, mintiéndole para que te crea.</t>
        </is>
      </c>
      <c r="D4" s="8" t="inlineStr">
        <is>
          <t>diccionarioargentino.com</t>
        </is>
      </c>
      <c r="E4" s="7" t="inlineStr">
        <is>
          <t>Tango de triste motivo / Cuando siento tu chamuyo / Se queda en mi alma el arrullo</t>
        </is>
      </c>
      <c r="F4" s="7" t="inlineStr">
        <is>
          <t>Apología del Tango · Tita Merello (1969)</t>
        </is>
      </c>
      <c r="G4" s="7" t="inlineStr"/>
      <c r="H4" s="7" t="inlineStr"/>
      <c r="I4" s="9" t="inlineStr"/>
      <c r="J4" s="9" t="inlineStr"/>
      <c r="K4" s="9" t="inlineStr"/>
      <c r="L4" s="9" t="inlineStr"/>
      <c r="M4" s="9" t="inlineStr"/>
      <c r="N4" s="9" t="inlineStr"/>
      <c r="O4" s="9" t="inlineStr"/>
      <c r="P4" s="9" t="inlineStr"/>
      <c r="Q4" s="7">
        <f>IF(OR(J4="",N4=""),"",IF(J4=N4,"sí","no"))</f>
        <v/>
      </c>
      <c r="R4" s="7">
        <f>IF(OR(K4="",O4=""),"",IF(K4=O4,"sí","no"))</f>
        <v/>
      </c>
      <c r="S4" s="9" t="inlineStr"/>
      <c r="T4" s="9" t="inlineStr"/>
      <c r="U4" s="9" t="inlineStr"/>
    </row>
    <row r="5" ht="45" customHeight="1">
      <c r="A5" s="7" t="inlineStr">
        <is>
          <t>CUR-004</t>
        </is>
      </c>
      <c r="B5" s="7" t="inlineStr">
        <is>
          <t>cerrar</t>
        </is>
      </c>
      <c r="C5" s="7" t="inlineStr">
        <is>
          <t>Colocar o modificar algo para evitar su apertura.</t>
        </is>
      </c>
      <c r="D5" s="7" t="inlineStr">
        <is>
          <t>Wikcionario</t>
        </is>
      </c>
      <c r="E5" s="7" t="inlineStr">
        <is>
          <t>Puedo relajar otra vez / Y bailar cuando cierro los ojos / Pensando en vos</t>
        </is>
      </c>
      <c r="F5" s="7" t="inlineStr">
        <is>
          <t>Puedo Sentirlo · David Lebón (1986)</t>
        </is>
      </c>
      <c r="G5" s="7" t="inlineStr">
        <is>
          <t>Solo la muerte esconde el ultimo latido debil de mi corazón / Cuando cerre mis manos / Me guarde estos recuerdos</t>
        </is>
      </c>
      <c r="H5" s="7" t="inlineStr">
        <is>
          <t>Reescribir Tragedias Sobre Libros Y Llamas · Dar Sangre (2008)</t>
        </is>
      </c>
      <c r="I5" s="9" t="inlineStr"/>
      <c r="J5" s="9" t="inlineStr"/>
      <c r="K5" s="9" t="inlineStr"/>
      <c r="L5" s="9" t="inlineStr"/>
      <c r="M5" s="9" t="inlineStr"/>
      <c r="N5" s="9" t="inlineStr"/>
      <c r="O5" s="9" t="inlineStr"/>
      <c r="P5" s="9" t="inlineStr"/>
      <c r="Q5" s="7">
        <f>IF(OR(J5="",N5=""),"",IF(J5=N5,"sí","no"))</f>
        <v/>
      </c>
      <c r="R5" s="7">
        <f>IF(OR(K5="",O5=""),"",IF(K5=O5,"sí","no"))</f>
        <v/>
      </c>
      <c r="S5" s="9" t="inlineStr"/>
      <c r="T5" s="9" t="inlineStr"/>
      <c r="U5" s="9" t="inlineStr"/>
    </row>
    <row r="6" ht="30" customHeight="1">
      <c r="A6" s="7" t="inlineStr">
        <is>
          <t>CUR-005</t>
        </is>
      </c>
      <c r="B6" s="7" t="inlineStr">
        <is>
          <t>botón</t>
        </is>
      </c>
      <c r="C6" s="7" t="inlineStr">
        <is>
          <t>Soplón, delator</t>
        </is>
      </c>
      <c r="D6" s="8" t="inlineStr">
        <is>
          <t>diccionarioargentino.com</t>
        </is>
      </c>
      <c r="E6" s="7" t="inlineStr">
        <is>
          <t>Que si en la calle me afila / Me pongo al lao del botón / ¡Lo que más bronca me da</t>
        </is>
      </c>
      <c r="F6" s="7" t="inlineStr">
        <is>
          <t>Chorra · Edmundo Rivero (1959)</t>
        </is>
      </c>
      <c r="G6" s="7" t="inlineStr">
        <is>
          <t>Y el fueye, es un bandoneón / El vigilante, un botón / La policía, la cana</t>
        </is>
      </c>
      <c r="H6" s="7" t="inlineStr">
        <is>
          <t>Milonga Lunfarda · Edmundo Rivero (1972)</t>
        </is>
      </c>
      <c r="I6" s="9" t="inlineStr"/>
      <c r="J6" s="9" t="inlineStr"/>
      <c r="K6" s="9" t="inlineStr"/>
      <c r="L6" s="9" t="inlineStr"/>
      <c r="M6" s="9" t="inlineStr"/>
      <c r="N6" s="9" t="inlineStr"/>
      <c r="O6" s="9" t="inlineStr"/>
      <c r="P6" s="9" t="inlineStr"/>
      <c r="Q6" s="7">
        <f>IF(OR(J6="",N6=""),"",IF(J6=N6,"sí","no"))</f>
        <v/>
      </c>
      <c r="R6" s="7">
        <f>IF(OR(K6="",O6=""),"",IF(K6=O6,"sí","no"))</f>
        <v/>
      </c>
      <c r="S6" s="9" t="inlineStr"/>
      <c r="T6" s="9" t="inlineStr"/>
      <c r="U6" s="9" t="inlineStr"/>
    </row>
    <row r="7" ht="45" customHeight="1">
      <c r="A7" s="7" t="inlineStr">
        <is>
          <t>CUR-006</t>
        </is>
      </c>
      <c r="B7" s="7" t="inlineStr">
        <is>
          <t>burra</t>
        </is>
      </c>
      <c r="C7" s="7" t="inlineStr">
        <is>
          <t>Forma villera de denominar la cola de una dama.</t>
        </is>
      </c>
      <c r="D7" s="8" t="inlineStr">
        <is>
          <t>diccionarioargentino.com</t>
        </is>
      </c>
      <c r="E7" s="7" t="inlineStr">
        <is>
          <t>Las pibita' me llaman, 'tamo' chelo / Me etiquetó en su burra, 'tamo' chelo / Ese gato hatea, 'tamo' chelo</t>
        </is>
      </c>
      <c r="F7" s="7" t="inlineStr">
        <is>
          <t>Tamo Chelo · El Noba (2021)</t>
        </is>
      </c>
      <c r="G7" s="7" t="inlineStr">
        <is>
          <t>¿Y ahora qué vamo' a hacer? / La baby lo mueve, qué burra, no sabés / Tiene flow, no hay compe (No hay compe)</t>
        </is>
      </c>
      <c r="H7" s="7" t="inlineStr">
        <is>
          <t>Del Año · El Noba (2021)</t>
        </is>
      </c>
      <c r="I7" s="9" t="inlineStr"/>
      <c r="J7" s="9" t="inlineStr"/>
      <c r="K7" s="9" t="inlineStr"/>
      <c r="L7" s="9" t="inlineStr"/>
      <c r="M7" s="9" t="inlineStr"/>
      <c r="N7" s="9" t="inlineStr"/>
      <c r="O7" s="9" t="inlineStr"/>
      <c r="P7" s="9" t="inlineStr"/>
      <c r="Q7" s="7">
        <f>IF(OR(J7="",N7=""),"",IF(J7=N7,"sí","no"))</f>
        <v/>
      </c>
      <c r="R7" s="7">
        <f>IF(OR(K7="",O7=""),"",IF(K7=O7,"sí","no"))</f>
        <v/>
      </c>
      <c r="S7" s="9" t="inlineStr"/>
      <c r="T7" s="9" t="inlineStr"/>
      <c r="U7" s="9" t="inlineStr"/>
    </row>
    <row r="8" ht="60" customHeight="1">
      <c r="A8" s="7" t="inlineStr">
        <is>
          <t>CUR-007</t>
        </is>
      </c>
      <c r="B8" s="7" t="inlineStr">
        <is>
          <t>gritar</t>
        </is>
      </c>
      <c r="C8" s="7" t="inlineStr">
        <is>
          <t>Hablar con la voz muy fuerte, para intimidar, alertar o comunicarse cuando el ruido de fondo impide la conversación normal.</t>
        </is>
      </c>
      <c r="D8" s="7" t="inlineStr">
        <is>
          <t>Wikcionario</t>
        </is>
      </c>
      <c r="E8" s="7" t="inlineStr">
        <is>
          <t>quieren montar como una puta encima de mi disco / Me gustaba escucharte gritar, bajaba to' el volumen / Bebiendo buena champaña y OG Kush pa' que</t>
        </is>
      </c>
      <c r="F8" s="7" t="inlineStr">
        <is>
          <t>Oye Baby · Zaramay (2020)</t>
        </is>
      </c>
      <c r="G8" s="7" t="inlineStr">
        <is>
          <t>Los que al mirar no se hacen / Ciegos por gritar / Sin pretender sen premiados</t>
        </is>
      </c>
      <c r="H8" s="7" t="inlineStr">
        <is>
          <t>Rugen Sus Voces · D-mente</t>
        </is>
      </c>
      <c r="I8" s="9" t="inlineStr"/>
      <c r="J8" s="9" t="inlineStr"/>
      <c r="K8" s="9" t="inlineStr"/>
      <c r="L8" s="9" t="inlineStr"/>
      <c r="M8" s="9" t="inlineStr"/>
      <c r="N8" s="9" t="inlineStr"/>
      <c r="O8" s="9" t="inlineStr"/>
      <c r="P8" s="9" t="inlineStr"/>
      <c r="Q8" s="7">
        <f>IF(OR(J8="",N8=""),"",IF(J8=N8,"sí","no"))</f>
        <v/>
      </c>
      <c r="R8" s="7">
        <f>IF(OR(K8="",O8=""),"",IF(K8=O8,"sí","no"))</f>
        <v/>
      </c>
      <c r="S8" s="9" t="inlineStr"/>
      <c r="T8" s="9" t="inlineStr"/>
      <c r="U8" s="9" t="inlineStr"/>
    </row>
    <row r="9" ht="45" customHeight="1">
      <c r="A9" s="7" t="inlineStr">
        <is>
          <t>CUR-008</t>
        </is>
      </c>
      <c r="B9" s="7" t="inlineStr">
        <is>
          <t>morocho</t>
        </is>
      </c>
      <c r="C9" s="7" t="inlineStr">
        <is>
          <t>Persona de tez morena y/o de cabello negro o castaño oscuro.</t>
        </is>
      </c>
      <c r="D9" s="8" t="inlineStr">
        <is>
          <t>diccionarioargentino.com</t>
        </is>
      </c>
      <c r="E9" s="7" t="inlineStr">
        <is>
          <t>Duki dispara aunque Mauro dude (Dude) / Soy el niño 'el año, morocho achinado / Llevo el doble caño, flow polarizado</t>
        </is>
      </c>
      <c r="F9" s="7" t="inlineStr">
        <is>
          <t>Hello Cotto · Duki (2017)</t>
        </is>
      </c>
      <c r="G9" s="7" t="inlineStr">
        <is>
          <t>¿Dónde estarán Traverso, el Cordobés y el Noy / El Pardo Augusto, Flores y el Morocho Aldao? / Así empezó mi vuelo de zorzal</t>
        </is>
      </c>
      <c r="H9" s="7" t="inlineStr">
        <is>
          <t>El Cantor de Buenos Aires · Roberto Goyeneche</t>
        </is>
      </c>
      <c r="I9" s="9" t="inlineStr"/>
      <c r="J9" s="9" t="inlineStr"/>
      <c r="K9" s="9" t="inlineStr"/>
      <c r="L9" s="9" t="inlineStr"/>
      <c r="M9" s="9" t="inlineStr"/>
      <c r="N9" s="9" t="inlineStr"/>
      <c r="O9" s="9" t="inlineStr"/>
      <c r="P9" s="9" t="inlineStr"/>
      <c r="Q9" s="7">
        <f>IF(OR(J9="",N9=""),"",IF(J9=N9,"sí","no"))</f>
        <v/>
      </c>
      <c r="R9" s="7">
        <f>IF(OR(K9="",O9=""),"",IF(K9=O9,"sí","no"))</f>
        <v/>
      </c>
      <c r="S9" s="9" t="inlineStr"/>
      <c r="T9" s="9" t="inlineStr"/>
      <c r="U9" s="9" t="inlineStr"/>
    </row>
    <row r="10" ht="45" customHeight="1">
      <c r="A10" s="7" t="inlineStr">
        <is>
          <t>CUR-009</t>
        </is>
      </c>
      <c r="B10" s="7" t="inlineStr">
        <is>
          <t>timba</t>
        </is>
      </c>
      <c r="C10" s="7" t="inlineStr">
        <is>
          <t>Casa de juegos de azar o directamente jugar juegos de cartas</t>
        </is>
      </c>
      <c r="D10" s="8" t="inlineStr">
        <is>
          <t>diccionarioargentino.com</t>
        </is>
      </c>
      <c r="E10" s="7" t="inlineStr">
        <is>
          <t>Su boca de fuego, otra vez, quiero besar / Basta de carreras, se acabó la timba / Un final reñido yo no vuelvo a ver</t>
        </is>
      </c>
      <c r="F10" s="7" t="inlineStr">
        <is>
          <t>Por Una Cabeza · Carlos Gardel (1935)</t>
        </is>
      </c>
      <c r="G10" s="7" t="inlineStr">
        <is>
          <t>De sabihondos y suicidas / Yo aprendí filosofía, dados, timba... / Y la poesía cruel</t>
        </is>
      </c>
      <c r="H10" s="7" t="inlineStr">
        <is>
          <t>Cafetín de Buenos Aires · Edmundo Rivero (1959)</t>
        </is>
      </c>
      <c r="I10" s="9" t="inlineStr"/>
      <c r="J10" s="9" t="inlineStr"/>
      <c r="K10" s="9" t="inlineStr"/>
      <c r="L10" s="9" t="inlineStr"/>
      <c r="M10" s="9" t="inlineStr"/>
      <c r="N10" s="9" t="inlineStr"/>
      <c r="O10" s="9" t="inlineStr"/>
      <c r="P10" s="9" t="inlineStr"/>
      <c r="Q10" s="7">
        <f>IF(OR(J10="",N10=""),"",IF(J10=N10,"sí","no"))</f>
        <v/>
      </c>
      <c r="R10" s="7">
        <f>IF(OR(K10="",O10=""),"",IF(K10=O10,"sí","no"))</f>
        <v/>
      </c>
      <c r="S10" s="9" t="inlineStr"/>
      <c r="T10" s="9" t="inlineStr"/>
      <c r="U10" s="9" t="inlineStr"/>
    </row>
    <row r="11" ht="45" customHeight="1">
      <c r="A11" s="7" t="inlineStr">
        <is>
          <t>CUR-010</t>
        </is>
      </c>
      <c r="B11" s="7" t="inlineStr">
        <is>
          <t>manija</t>
        </is>
      </c>
      <c r="C11" s="7" t="inlineStr">
        <is>
          <t>Tener manija es tener ansias o entusiasmo por algo.</t>
        </is>
      </c>
      <c r="D11" s="8" t="inlineStr">
        <is>
          <t>diccionarioargentino.com</t>
        </is>
      </c>
      <c r="E11" s="7" t="inlineStr">
        <is>
          <t>Con par de champetas yo siempre corono / 'Tamo re manija y nunca paramo' / Si pinta el after ahí nos mandamo'</t>
        </is>
      </c>
      <c r="F11" s="7" t="inlineStr">
        <is>
          <t>ALLA · EL NOBA (2022)</t>
        </is>
      </c>
      <c r="G11" s="7" t="inlineStr">
        <is>
          <t>En una cancha o en un bar / Dando la vuelta manija me doy / Subiendo al latido de esta vibración</t>
        </is>
      </c>
      <c r="H11" s="7" t="inlineStr">
        <is>
          <t>Toco y me voy · Bersuit Vergarabat (2000)</t>
        </is>
      </c>
      <c r="I11" s="9" t="inlineStr"/>
      <c r="J11" s="9" t="inlineStr"/>
      <c r="K11" s="9" t="inlineStr"/>
      <c r="L11" s="9" t="inlineStr"/>
      <c r="M11" s="9" t="inlineStr"/>
      <c r="N11" s="9" t="inlineStr"/>
      <c r="O11" s="9" t="inlineStr"/>
      <c r="P11" s="9" t="inlineStr"/>
      <c r="Q11" s="7">
        <f>IF(OR(J11="",N11=""),"",IF(J11=N11,"sí","no"))</f>
        <v/>
      </c>
      <c r="R11" s="7">
        <f>IF(OR(K11="",O11=""),"",IF(K11=O11,"sí","no"))</f>
        <v/>
      </c>
      <c r="S11" s="9" t="inlineStr"/>
      <c r="T11" s="9" t="inlineStr"/>
      <c r="U11" s="9" t="inlineStr"/>
    </row>
    <row r="12" ht="45" customHeight="1">
      <c r="A12" s="7" t="inlineStr">
        <is>
          <t>CUR-011</t>
        </is>
      </c>
      <c r="B12" s="7" t="inlineStr">
        <is>
          <t>viejo</t>
        </is>
      </c>
      <c r="C12" s="7" t="inlineStr">
        <is>
          <t>Sinonimo de padre/papá en el lunfardo argentino.</t>
        </is>
      </c>
      <c r="D12" s="8" t="inlineStr">
        <is>
          <t>diccionarioargentino.com</t>
        </is>
      </c>
      <c r="E12" s="7" t="inlineStr">
        <is>
          <t>por sonsa, a fuerza de compasión / Como quedaste en la vía y tu viejo, un pobre tano / Era chivo con los cosos pelandrunes como vos</t>
        </is>
      </c>
      <c r="F12" s="7" t="inlineStr">
        <is>
          <t>Lloró Como Una Mujer · Edmundo Rivero (1967)</t>
        </is>
      </c>
      <c r="G12" s="7" t="inlineStr">
        <is>
          <t>Mi mamá tomando merca, todo enfrente 'e mi cara (Fiumba) / Y mi viejo después de eso me echó fuera 'e la casa / Pero si no</t>
        </is>
      </c>
      <c r="H12" s="7" t="inlineStr">
        <is>
          <t>OPA · Dillom (2021)</t>
        </is>
      </c>
      <c r="I12" s="9" t="inlineStr"/>
      <c r="J12" s="9" t="inlineStr"/>
      <c r="K12" s="9" t="inlineStr"/>
      <c r="L12" s="9" t="inlineStr"/>
      <c r="M12" s="9" t="inlineStr"/>
      <c r="N12" s="9" t="inlineStr"/>
      <c r="O12" s="9" t="inlineStr"/>
      <c r="P12" s="9" t="inlineStr"/>
      <c r="Q12" s="7">
        <f>IF(OR(J12="",N12=""),"",IF(J12=N12,"sí","no"))</f>
        <v/>
      </c>
      <c r="R12" s="7">
        <f>IF(OR(K12="",O12=""),"",IF(K12=O12,"sí","no"))</f>
        <v/>
      </c>
      <c r="S12" s="9" t="inlineStr"/>
      <c r="T12" s="9" t="inlineStr"/>
      <c r="U12" s="9" t="inlineStr"/>
    </row>
    <row r="13" ht="30" customHeight="1">
      <c r="A13" s="7" t="inlineStr">
        <is>
          <t>CUR-012</t>
        </is>
      </c>
      <c r="B13" s="7" t="inlineStr">
        <is>
          <t>macana</t>
        </is>
      </c>
      <c r="C13" s="7" t="inlineStr">
        <is>
          <t>Error, equivocación; cosa mal hecha.</t>
        </is>
      </c>
      <c r="D13" s="8" t="inlineStr">
        <is>
          <t>diccionarioargentino.com</t>
        </is>
      </c>
      <c r="E13" s="7" t="inlineStr">
        <is>
          <t>De envenenarse mi hermana / No hay bochinche ni macana / Que en tu homenaje no hiciera</t>
        </is>
      </c>
      <c r="F13" s="7" t="inlineStr">
        <is>
          <t>Apología del Tango · Tita Merello (1969)</t>
        </is>
      </c>
      <c r="G13" s="7" t="inlineStr">
        <is>
          <t>Rebota en la fuente / ¡Ay, qué macana! / Se posa en su frente</t>
        </is>
      </c>
      <c r="H13" s="7" t="inlineStr">
        <is>
          <t>La tortuga Uga · Flor Ansaldo (2020)</t>
        </is>
      </c>
      <c r="I13" s="9" t="inlineStr"/>
      <c r="J13" s="9" t="inlineStr"/>
      <c r="K13" s="9" t="inlineStr"/>
      <c r="L13" s="9" t="inlineStr"/>
      <c r="M13" s="9" t="inlineStr"/>
      <c r="N13" s="9" t="inlineStr"/>
      <c r="O13" s="9" t="inlineStr"/>
      <c r="P13" s="9" t="inlineStr"/>
      <c r="Q13" s="7">
        <f>IF(OR(J13="",N13=""),"",IF(J13=N13,"sí","no"))</f>
        <v/>
      </c>
      <c r="R13" s="7">
        <f>IF(OR(K13="",O13=""),"",IF(K13=O13,"sí","no"))</f>
        <v/>
      </c>
      <c r="S13" s="9" t="inlineStr"/>
      <c r="T13" s="9" t="inlineStr"/>
      <c r="U13" s="9" t="inlineStr"/>
    </row>
    <row r="14" ht="60" customHeight="1">
      <c r="A14" s="7" t="inlineStr">
        <is>
          <t>CUR-013</t>
        </is>
      </c>
      <c r="B14" s="7" t="inlineStr">
        <is>
          <t>pico</t>
        </is>
      </c>
      <c r="C14" s="7" t="inlineStr">
        <is>
          <t>En Argentina, dícese que significa o representa, la accion humana de indole apareamental entre humanos, comunmente denominada "beso".</t>
        </is>
      </c>
      <c r="D14" s="8" t="inlineStr">
        <is>
          <t>diccionarioargentino.com</t>
        </is>
      </c>
      <c r="E14" s="7" t="inlineStr">
        <is>
          <t>Todo' los pibito' fumando del rico / Toda' esa' bandida' quieren darme un pico / Por allá el machimbre parece milico</t>
        </is>
      </c>
      <c r="F14" s="7" t="inlineStr">
        <is>
          <t>Tamo Chelo · El Noba (2021)</t>
        </is>
      </c>
      <c r="G14" s="7" t="inlineStr">
        <is>
          <t>Un bicho gordo como un salchichón / Dice “qué rico” y abriendo el pico / Pesca al perrito como un camarón</t>
        </is>
      </c>
      <c r="H14" s="7" t="inlineStr">
        <is>
          <t>El Show Del Perro Salchicha · María Elena Walsh (1966)</t>
        </is>
      </c>
      <c r="I14" s="9" t="inlineStr"/>
      <c r="J14" s="9" t="inlineStr"/>
      <c r="K14" s="9" t="inlineStr"/>
      <c r="L14" s="9" t="inlineStr"/>
      <c r="M14" s="9" t="inlineStr"/>
      <c r="N14" s="9" t="inlineStr"/>
      <c r="O14" s="9" t="inlineStr"/>
      <c r="P14" s="9" t="inlineStr"/>
      <c r="Q14" s="7">
        <f>IF(OR(J14="",N14=""),"",IF(J14=N14,"sí","no"))</f>
        <v/>
      </c>
      <c r="R14" s="7">
        <f>IF(OR(K14="",O14=""),"",IF(K14=O14,"sí","no"))</f>
        <v/>
      </c>
      <c r="S14" s="9" t="inlineStr"/>
      <c r="T14" s="9" t="inlineStr"/>
      <c r="U14" s="9" t="inlineStr"/>
    </row>
    <row r="15" ht="30" customHeight="1">
      <c r="A15" s="7" t="inlineStr">
        <is>
          <t>CUR-014</t>
        </is>
      </c>
      <c r="B15" s="7" t="inlineStr">
        <is>
          <t>cana</t>
        </is>
      </c>
      <c r="C15" s="7" t="inlineStr">
        <is>
          <t>Refiriéndose a la policia, a ir detenido a la comisaria o prisión.</t>
        </is>
      </c>
      <c r="D15" s="8" t="inlineStr">
        <is>
          <t>diccionarioargentino.com</t>
        </is>
      </c>
      <c r="E15" s="7" t="inlineStr">
        <is>
          <t>Que se nos cruza en la vida / Por vos he morfao más canas / Que pelos tengo en el mate</t>
        </is>
      </c>
      <c r="F15" s="7" t="inlineStr">
        <is>
          <t>Apología del Tango · Tita Merello (1969)</t>
        </is>
      </c>
      <c r="G15" s="7" t="inlineStr">
        <is>
          <t>Como me engrupiste vos / Está en cana, prontuariado / Como agente 'e la camorra</t>
        </is>
      </c>
      <c r="H15" s="7" t="inlineStr">
        <is>
          <t>Chorra · Edmundo Rivero (1959)</t>
        </is>
      </c>
      <c r="I15" s="9" t="inlineStr"/>
      <c r="J15" s="9" t="inlineStr"/>
      <c r="K15" s="9" t="inlineStr"/>
      <c r="L15" s="9" t="inlineStr"/>
      <c r="M15" s="9" t="inlineStr"/>
      <c r="N15" s="9" t="inlineStr"/>
      <c r="O15" s="9" t="inlineStr"/>
      <c r="P15" s="9" t="inlineStr"/>
      <c r="Q15" s="7">
        <f>IF(OR(J15="",N15=""),"",IF(J15=N15,"sí","no"))</f>
        <v/>
      </c>
      <c r="R15" s="7">
        <f>IF(OR(K15="",O15=""),"",IF(K15=O15,"sí","no"))</f>
        <v/>
      </c>
      <c r="S15" s="9" t="inlineStr"/>
      <c r="T15" s="9" t="inlineStr"/>
      <c r="U15" s="9" t="inlineStr"/>
    </row>
    <row r="16" ht="30" customHeight="1">
      <c r="A16" s="7" t="inlineStr">
        <is>
          <t>CUR-015</t>
        </is>
      </c>
      <c r="B16" s="7" t="inlineStr">
        <is>
          <t>mango</t>
        </is>
      </c>
      <c r="C16" s="7" t="inlineStr">
        <is>
          <t>Sinónimo de dinero.</t>
        </is>
      </c>
      <c r="D16" s="8" t="inlineStr">
        <is>
          <t>diccionarioargentino.com</t>
        </is>
      </c>
      <c r="E16" s="7" t="inlineStr">
        <is>
          <t>De manguero doctorao / Y que un mango descubrís / Aunque lo hayan enterrao</t>
        </is>
      </c>
      <c r="F16" s="7" t="inlineStr">
        <is>
          <t>Dónde Hay Un Mango? · Tita Merello (1965)</t>
        </is>
      </c>
      <c r="G16" s="7" t="inlineStr">
        <is>
          <t>Cuando rajés los tamangos / Buscando este mango / Que te haga morfar</t>
        </is>
      </c>
      <c r="H16" s="7" t="inlineStr">
        <is>
          <t>Yira, Yira · Carlos Gardel (1930)</t>
        </is>
      </c>
      <c r="I16" s="9" t="inlineStr"/>
      <c r="J16" s="9" t="inlineStr"/>
      <c r="K16" s="9" t="inlineStr"/>
      <c r="L16" s="9" t="inlineStr"/>
      <c r="M16" s="9" t="inlineStr"/>
      <c r="N16" s="9" t="inlineStr"/>
      <c r="O16" s="9" t="inlineStr"/>
      <c r="P16" s="9" t="inlineStr"/>
      <c r="Q16" s="7">
        <f>IF(OR(J16="",N16=""),"",IF(J16=N16,"sí","no"))</f>
        <v/>
      </c>
      <c r="R16" s="7">
        <f>IF(OR(K16="",O16=""),"",IF(K16=O16,"sí","no"))</f>
        <v/>
      </c>
      <c r="S16" s="9" t="inlineStr"/>
      <c r="T16" s="9" t="inlineStr"/>
      <c r="U16" s="9" t="inlineStr"/>
    </row>
    <row r="17" ht="45" customHeight="1">
      <c r="A17" s="7" t="inlineStr">
        <is>
          <t>CUR-016</t>
        </is>
      </c>
      <c r="B17" s="7" t="inlineStr">
        <is>
          <t>malevo</t>
        </is>
      </c>
      <c r="C17" s="7" t="inlineStr">
        <is>
          <t>Vulgar, propio del arrabal.</t>
        </is>
      </c>
      <c r="D17" s="7" t="inlineStr">
        <is>
          <t>Wikcionario</t>
        </is>
      </c>
      <c r="E17" s="7" t="inlineStr">
        <is>
          <t>Se dice de mí / Se dice que soy fiera, que camino a lo malevo / Que soy chueca y que me muevo con un aire compadrón</t>
        </is>
      </c>
      <c r="F17" s="7" t="inlineStr">
        <is>
          <t>Se Dice de Mí · Tita Merello (1955)</t>
        </is>
      </c>
      <c r="G17" s="7" t="inlineStr">
        <is>
          <t>Nacido en los suburbios / Malevos y turbios / Hoy</t>
        </is>
      </c>
      <c r="H17" s="7" t="inlineStr">
        <is>
          <t>Yo soy el tango · Miguel Caló</t>
        </is>
      </c>
      <c r="I17" s="9" t="inlineStr"/>
      <c r="J17" s="9" t="inlineStr"/>
      <c r="K17" s="9" t="inlineStr"/>
      <c r="L17" s="9" t="inlineStr"/>
      <c r="M17" s="9" t="inlineStr"/>
      <c r="N17" s="9" t="inlineStr"/>
      <c r="O17" s="9" t="inlineStr"/>
      <c r="P17" s="9" t="inlineStr"/>
      <c r="Q17" s="7">
        <f>IF(OR(J17="",N17=""),"",IF(J17=N17,"sí","no"))</f>
        <v/>
      </c>
      <c r="R17" s="7">
        <f>IF(OR(K17="",O17=""),"",IF(K17=O17,"sí","no"))</f>
        <v/>
      </c>
      <c r="S17" s="9" t="inlineStr"/>
      <c r="T17" s="9" t="inlineStr"/>
      <c r="U17" s="9" t="inlineStr"/>
    </row>
    <row r="18" ht="30" customHeight="1">
      <c r="A18" s="7" t="inlineStr">
        <is>
          <t>CUR-017</t>
        </is>
      </c>
      <c r="B18" s="7" t="inlineStr">
        <is>
          <t>gil</t>
        </is>
      </c>
      <c r="C18" s="7" t="inlineStr">
        <is>
          <t>Insulto a una persona que no cumple lo pautado o no tiene códigos</t>
        </is>
      </c>
      <c r="D18" s="8" t="inlineStr">
        <is>
          <t>diccionarioargentino.com</t>
        </is>
      </c>
      <c r="E18" s="7" t="inlineStr">
        <is>
          <t>En el amor yo solo sé / Que a más de un gil dejé de a pie / Podrán decir, podrán hablar</t>
        </is>
      </c>
      <c r="F18" s="7" t="inlineStr">
        <is>
          <t>Se Dice de Mí · Tita Merello (1955)</t>
        </is>
      </c>
      <c r="G18" s="7" t="inlineStr">
        <is>
          <t>¡Lo que más bronca me da / Es haber estao' tan gil! / Si hace un mes me desayuno</t>
        </is>
      </c>
      <c r="H18" s="7" t="inlineStr">
        <is>
          <t>Chorra · Edmundo Rivero (1959)</t>
        </is>
      </c>
      <c r="I18" s="9" t="inlineStr"/>
      <c r="J18" s="9" t="inlineStr"/>
      <c r="K18" s="9" t="inlineStr"/>
      <c r="L18" s="9" t="inlineStr"/>
      <c r="M18" s="9" t="inlineStr"/>
      <c r="N18" s="9" t="inlineStr"/>
      <c r="O18" s="9" t="inlineStr"/>
      <c r="P18" s="9" t="inlineStr"/>
      <c r="Q18" s="7">
        <f>IF(OR(J18="",N18=""),"",IF(J18=N18,"sí","no"))</f>
        <v/>
      </c>
      <c r="R18" s="7">
        <f>IF(OR(K18="",O18=""),"",IF(K18=O18,"sí","no"))</f>
        <v/>
      </c>
      <c r="S18" s="9" t="inlineStr"/>
      <c r="T18" s="9" t="inlineStr"/>
      <c r="U18" s="9" t="inlineStr"/>
    </row>
    <row r="19" ht="45" customHeight="1">
      <c r="A19" s="7" t="inlineStr">
        <is>
          <t>CUR-018</t>
        </is>
      </c>
      <c r="B19" s="7" t="inlineStr">
        <is>
          <t>bailar</t>
        </is>
      </c>
      <c r="C19" s="7" t="inlineStr">
        <is>
          <t>Derrotar contundentemente.</t>
        </is>
      </c>
      <c r="D19" s="7" t="inlineStr">
        <is>
          <t>Wikcionario</t>
        </is>
      </c>
      <c r="E19" s="7" t="inlineStr">
        <is>
          <t>de aquí, cuántos de ellos aún están / Ahora mírame a mí, que te la puedo bailar / Solo elígeme el beat, el resto lo hace papá</t>
        </is>
      </c>
      <c r="F19" s="7" t="inlineStr">
        <is>
          <t>Vivimos Deprisa · Sofía Gabanna (2021)</t>
        </is>
      </c>
      <c r="G19" s="7" t="inlineStr"/>
      <c r="H19" s="7" t="inlineStr"/>
      <c r="I19" s="9" t="inlineStr"/>
      <c r="J19" s="9" t="inlineStr"/>
      <c r="K19" s="9" t="inlineStr"/>
      <c r="L19" s="9" t="inlineStr"/>
      <c r="M19" s="9" t="inlineStr"/>
      <c r="N19" s="9" t="inlineStr"/>
      <c r="O19" s="9" t="inlineStr"/>
      <c r="P19" s="9" t="inlineStr"/>
      <c r="Q19" s="7">
        <f>IF(OR(J19="",N19=""),"",IF(J19=N19,"sí","no"))</f>
        <v/>
      </c>
      <c r="R19" s="7">
        <f>IF(OR(K19="",O19=""),"",IF(K19=O19,"sí","no"))</f>
        <v/>
      </c>
      <c r="S19" s="9" t="inlineStr"/>
      <c r="T19" s="9" t="inlineStr"/>
      <c r="U19" s="9" t="inlineStr"/>
    </row>
    <row r="20" ht="45" customHeight="1">
      <c r="A20" s="7" t="inlineStr">
        <is>
          <t>CUR-019</t>
        </is>
      </c>
      <c r="B20" s="7" t="inlineStr">
        <is>
          <t>pobre</t>
        </is>
      </c>
      <c r="C20" s="7" t="inlineStr">
        <is>
          <t>Que tiene pocos bienes materiales.</t>
        </is>
      </c>
      <c r="D20" s="7" t="inlineStr">
        <is>
          <t>Wikcionario</t>
        </is>
      </c>
      <c r="E20" s="7" t="inlineStr">
        <is>
          <t>ahí que tenerla presente / Muchas te amarán siendo rico y pocas siendo pobre, fuck (Ey) / Si lo que yo hago yo no lo pueden hacer</t>
        </is>
      </c>
      <c r="F20" s="7" t="inlineStr">
        <is>
          <t>Nena · Zaramay (2018)</t>
        </is>
      </c>
      <c r="G20" s="7" t="inlineStr">
        <is>
          <t>Se van al sobre, yo no sobro (No sobro) / De pobre a rico como Rondo (Rondo) / Ya me conocen como el monstruo</t>
        </is>
      </c>
      <c r="H20" s="7" t="inlineStr">
        <is>
          <t>Hello Cotto · Duki (2017)</t>
        </is>
      </c>
      <c r="I20" s="9" t="inlineStr"/>
      <c r="J20" s="9" t="inlineStr"/>
      <c r="K20" s="9" t="inlineStr"/>
      <c r="L20" s="9" t="inlineStr"/>
      <c r="M20" s="9" t="inlineStr"/>
      <c r="N20" s="9" t="inlineStr"/>
      <c r="O20" s="9" t="inlineStr"/>
      <c r="P20" s="9" t="inlineStr"/>
      <c r="Q20" s="7">
        <f>IF(OR(J20="",N20=""),"",IF(J20=N20,"sí","no"))</f>
        <v/>
      </c>
      <c r="R20" s="7">
        <f>IF(OR(K20="",O20=""),"",IF(K20=O20,"sí","no"))</f>
        <v/>
      </c>
      <c r="S20" s="9" t="inlineStr"/>
      <c r="T20" s="9" t="inlineStr"/>
      <c r="U20" s="9" t="inlineStr"/>
    </row>
    <row r="21" ht="30" customHeight="1">
      <c r="A21" s="7" t="inlineStr">
        <is>
          <t>CUR-020</t>
        </is>
      </c>
      <c r="B21" s="7" t="inlineStr">
        <is>
          <t>cotorro</t>
        </is>
      </c>
      <c r="C21" s="7" t="inlineStr">
        <is>
          <t>Inmueble o habitación destinada para encuentros amorosos clandestinos.</t>
        </is>
      </c>
      <c r="D21" s="7" t="inlineStr">
        <is>
          <t>Wikcionario</t>
        </is>
      </c>
      <c r="E21" s="7" t="inlineStr">
        <is>
          <t>Agarrar lo que está hecho / El cotorro es el lugar / Donde se hace el amor</t>
        </is>
      </c>
      <c r="F21" s="7" t="inlineStr">
        <is>
          <t>Milonga Lunfarda · Edmundo Rivero (1972)</t>
        </is>
      </c>
      <c r="G21" s="7" t="inlineStr">
        <is>
          <t>Pa' olvidarme de tu amor / Cuando voy a mi cotorro / Y lo veo desarreglado</t>
        </is>
      </c>
      <c r="H21" s="7" t="inlineStr">
        <is>
          <t>Mi noche triste · Carlos Gardel (1917)</t>
        </is>
      </c>
      <c r="I21" s="9" t="inlineStr"/>
      <c r="J21" s="9" t="inlineStr"/>
      <c r="K21" s="9" t="inlineStr"/>
      <c r="L21" s="9" t="inlineStr"/>
      <c r="M21" s="9" t="inlineStr"/>
      <c r="N21" s="9" t="inlineStr"/>
      <c r="O21" s="9" t="inlineStr"/>
      <c r="P21" s="9" t="inlineStr"/>
      <c r="Q21" s="7">
        <f>IF(OR(J21="",N21=""),"",IF(J21=N21,"sí","no"))</f>
        <v/>
      </c>
      <c r="R21" s="7">
        <f>IF(OR(K21="",O21=""),"",IF(K21=O21,"sí","no"))</f>
        <v/>
      </c>
      <c r="S21" s="9" t="inlineStr"/>
      <c r="T21" s="9" t="inlineStr"/>
      <c r="U21" s="9" t="inlineStr"/>
    </row>
    <row r="22" ht="45" customHeight="1">
      <c r="A22" s="7" t="inlineStr">
        <is>
          <t>CUR-021</t>
        </is>
      </c>
      <c r="B22" s="7" t="inlineStr">
        <is>
          <t>piola</t>
        </is>
      </c>
      <c r="C22" s="7" t="inlineStr">
        <is>
          <t>Adjetivo que califica a quien resuelve situaciones gracias a su ingenio; también algo que está bueno.</t>
        </is>
      </c>
      <c r="D22" s="8" t="inlineStr">
        <is>
          <t>diccionarioargentino.com</t>
        </is>
      </c>
      <c r="E22" s="7" t="inlineStr">
        <is>
          <t>Acá no se usa chupín, se viste ancho / No te hagas el piola, si en Varela sos un pancho / Si quiero te arrebato, no compro</t>
        </is>
      </c>
      <c r="F22" s="7" t="inlineStr">
        <is>
          <t>PICA · EL NOBA (2022)</t>
        </is>
      </c>
      <c r="G22" s="7" t="inlineStr">
        <is>
          <t>Estoy de gira por el barrio y mañana tengo fecha / Pero me porto piola, así la 12 no sospecha / (Fuck, try me)</t>
        </is>
      </c>
      <c r="H22" s="7" t="inlineStr">
        <is>
          <t>A$AP · Dillom (2019)</t>
        </is>
      </c>
      <c r="I22" s="9" t="inlineStr"/>
      <c r="J22" s="9" t="inlineStr"/>
      <c r="K22" s="9" t="inlineStr"/>
      <c r="L22" s="9" t="inlineStr"/>
      <c r="M22" s="9" t="inlineStr"/>
      <c r="N22" s="9" t="inlineStr"/>
      <c r="O22" s="9" t="inlineStr"/>
      <c r="P22" s="9" t="inlineStr"/>
      <c r="Q22" s="7">
        <f>IF(OR(J22="",N22=""),"",IF(J22=N22,"sí","no"))</f>
        <v/>
      </c>
      <c r="R22" s="7">
        <f>IF(OR(K22="",O22=""),"",IF(K22=O22,"sí","no"))</f>
        <v/>
      </c>
      <c r="S22" s="9" t="inlineStr"/>
      <c r="T22" s="9" t="inlineStr"/>
      <c r="U22" s="9" t="inlineStr"/>
    </row>
    <row r="23" ht="60" customHeight="1">
      <c r="A23" s="7" t="inlineStr">
        <is>
          <t>CUR-022</t>
        </is>
      </c>
      <c r="B23" s="7" t="inlineStr">
        <is>
          <t>curro</t>
        </is>
      </c>
      <c r="C23" s="7" t="inlineStr">
        <is>
          <t>Situación arreglada previamente, generalmente de manera injusta y/o inmoral.</t>
        </is>
      </c>
      <c r="D23" s="8" t="inlineStr">
        <is>
          <t>diccionarioargentino.com</t>
        </is>
      </c>
      <c r="E23" s="7" t="inlineStr">
        <is>
          <t>dealer' en lo' burro' (Uh) / Aprovechen el momento y saquen provecho al curro (Uh, uh-uh) / Ya tú sabe', canto envido (Ya lo dije con susurro)</t>
        </is>
      </c>
      <c r="F23" s="7" t="inlineStr">
        <is>
          <t>Freestyle Session #14 “LOS INTOCABLES” · Zaramay (2021)</t>
        </is>
      </c>
      <c r="G23" s="7" t="inlineStr">
        <is>
          <t>Sos cadenera, flor sin berretines / Que currás a los cuores con tu rango; / Pero el choma que aceita tus patines</t>
        </is>
      </c>
      <c r="H23" s="7" t="inlineStr">
        <is>
          <t>A Buenos Aires Lunfa · Edmundo Rivero (1967)</t>
        </is>
      </c>
      <c r="I23" s="9" t="inlineStr"/>
      <c r="J23" s="9" t="inlineStr"/>
      <c r="K23" s="9" t="inlineStr"/>
      <c r="L23" s="9" t="inlineStr"/>
      <c r="M23" s="9" t="inlineStr"/>
      <c r="N23" s="9" t="inlineStr"/>
      <c r="O23" s="9" t="inlineStr"/>
      <c r="P23" s="9" t="inlineStr"/>
      <c r="Q23" s="7">
        <f>IF(OR(J23="",N23=""),"",IF(J23=N23,"sí","no"))</f>
        <v/>
      </c>
      <c r="R23" s="7">
        <f>IF(OR(K23="",O23=""),"",IF(K23=O23,"sí","no"))</f>
        <v/>
      </c>
      <c r="S23" s="9" t="inlineStr"/>
      <c r="T23" s="9" t="inlineStr"/>
      <c r="U23" s="9" t="inlineStr"/>
    </row>
    <row r="24" ht="75" customHeight="1">
      <c r="A24" s="7" t="inlineStr">
        <is>
          <t>CUR-023</t>
        </is>
      </c>
      <c r="B24" s="7" t="inlineStr">
        <is>
          <t>pendejo</t>
        </is>
      </c>
      <c r="C24" s="7" t="inlineStr">
        <is>
          <t>1 Usado para describir a alguien joven (Pendejo significa realmente pelo del pubis) 2 Usado a veces para describir a persona despectivamente a  alguien medio tonto.</t>
        </is>
      </c>
      <c r="D24" s="8" t="inlineStr">
        <is>
          <t>diccionarioargentino.com</t>
        </is>
      </c>
      <c r="E24" s="7" t="inlineStr">
        <is>
          <t>El día que muera, moriré en mi ley, ah / Una pendeja egoísta, un poco masoquista / Su familia es cheta, sus papás son macristas</t>
        </is>
      </c>
      <c r="F24" s="7" t="inlineStr">
        <is>
          <t>Buenos tiempos · Dillom (2024)</t>
        </is>
      </c>
      <c r="G24" s="7" t="inlineStr">
        <is>
          <t>Me jode / Lejos del complejo de pendejos que la soben / Ven un lazo con el viejo rap, entonces no lo roben</t>
        </is>
      </c>
      <c r="H24" s="7" t="inlineStr">
        <is>
          <t>Oro Puro · 808god (2020)</t>
        </is>
      </c>
      <c r="I24" s="9" t="inlineStr"/>
      <c r="J24" s="9" t="inlineStr"/>
      <c r="K24" s="9" t="inlineStr"/>
      <c r="L24" s="9" t="inlineStr"/>
      <c r="M24" s="9" t="inlineStr"/>
      <c r="N24" s="9" t="inlineStr"/>
      <c r="O24" s="9" t="inlineStr"/>
      <c r="P24" s="9" t="inlineStr"/>
      <c r="Q24" s="7">
        <f>IF(OR(J24="",N24=""),"",IF(J24=N24,"sí","no"))</f>
        <v/>
      </c>
      <c r="R24" s="7">
        <f>IF(OR(K24="",O24=""),"",IF(K24=O24,"sí","no"))</f>
        <v/>
      </c>
      <c r="S24" s="9" t="inlineStr"/>
      <c r="T24" s="9" t="inlineStr"/>
      <c r="U24" s="9" t="inlineStr"/>
    </row>
    <row r="25" ht="60" customHeight="1">
      <c r="A25" s="7" t="inlineStr">
        <is>
          <t>CUR-024</t>
        </is>
      </c>
      <c r="B25" s="7" t="inlineStr">
        <is>
          <t>guita</t>
        </is>
      </c>
      <c r="C25" s="7" t="inlineStr">
        <is>
          <t>Significa dinero, plata.</t>
        </is>
      </c>
      <c r="D25" s="8" t="inlineStr">
        <is>
          <t>diccionarioargentino.com</t>
        </is>
      </c>
      <c r="E25" s="7" t="inlineStr">
        <is>
          <t>Y al vivo le baten rana / La guita o el vento es / El dinero que circula</t>
        </is>
      </c>
      <c r="F25" s="7" t="inlineStr">
        <is>
          <t>Milonga Lunfarda · Edmundo Rivero (1972)</t>
        </is>
      </c>
      <c r="G25" s="7" t="inlineStr">
        <is>
          <t>fin de mes me dan miguitas para que no me queje / Puta, yo quiero mi guita, no escuchar boludeces / Estoy tan cansado de este sentimiento</t>
        </is>
      </c>
      <c r="H25" s="7" t="inlineStr">
        <is>
          <t>Mi peor enemigo · Dillom (2024)</t>
        </is>
      </c>
      <c r="I25" s="9" t="inlineStr"/>
      <c r="J25" s="9" t="inlineStr"/>
      <c r="K25" s="9" t="inlineStr"/>
      <c r="L25" s="9" t="inlineStr"/>
      <c r="M25" s="9" t="inlineStr"/>
      <c r="N25" s="9" t="inlineStr"/>
      <c r="O25" s="9" t="inlineStr"/>
      <c r="P25" s="9" t="inlineStr"/>
      <c r="Q25" s="7">
        <f>IF(OR(J25="",N25=""),"",IF(J25=N25,"sí","no"))</f>
        <v/>
      </c>
      <c r="R25" s="7">
        <f>IF(OR(K25="",O25=""),"",IF(K25=O25,"sí","no"))</f>
        <v/>
      </c>
      <c r="S25" s="9" t="inlineStr"/>
      <c r="T25" s="9" t="inlineStr"/>
      <c r="U25" s="9" t="inlineStr"/>
    </row>
    <row r="26" ht="30" customHeight="1">
      <c r="A26" s="7" t="inlineStr">
        <is>
          <t>CUR-025</t>
        </is>
      </c>
      <c r="B26" s="7" t="inlineStr">
        <is>
          <t>chabón</t>
        </is>
      </c>
      <c r="C26" s="7" t="inlineStr">
        <is>
          <t>Término coloquial para referirse a un chico o una chica.</t>
        </is>
      </c>
      <c r="D26" s="8" t="inlineStr">
        <is>
          <t>diccionarioargentino.com</t>
        </is>
      </c>
      <c r="E26" s="7" t="inlineStr">
        <is>
          <t>El chorro, un vulgar ladrón / Al zonzo, llaman chabón / Y al vivo le baten rana</t>
        </is>
      </c>
      <c r="F26" s="7" t="inlineStr">
        <is>
          <t>Milonga Lunfarda · Edmundo Rivero (1972)</t>
        </is>
      </c>
      <c r="G26" s="7" t="inlineStr">
        <is>
          <t>Ese cuerpo compadrón, algún... / Algún oscuro chabón / Será el llamado a cargarte</t>
        </is>
      </c>
      <c r="H26" s="7" t="inlineStr">
        <is>
          <t>En un feca · Edmundo Rivero (1975)</t>
        </is>
      </c>
      <c r="I26" s="9" t="inlineStr"/>
      <c r="J26" s="9" t="inlineStr"/>
      <c r="K26" s="9" t="inlineStr"/>
      <c r="L26" s="9" t="inlineStr"/>
      <c r="M26" s="9" t="inlineStr"/>
      <c r="N26" s="9" t="inlineStr"/>
      <c r="O26" s="9" t="inlineStr"/>
      <c r="P26" s="9" t="inlineStr"/>
      <c r="Q26" s="7">
        <f>IF(OR(J26="",N26=""),"",IF(J26=N26,"sí","no"))</f>
        <v/>
      </c>
      <c r="R26" s="7">
        <f>IF(OR(K26="",O26=""),"",IF(K26=O26,"sí","no"))</f>
        <v/>
      </c>
      <c r="S26" s="9" t="inlineStr"/>
      <c r="T26" s="9" t="inlineStr"/>
      <c r="U26" s="9" t="inlineStr"/>
    </row>
    <row r="27" ht="45" customHeight="1">
      <c r="A27" s="7" t="inlineStr">
        <is>
          <t>CUR-026</t>
        </is>
      </c>
      <c r="B27" s="7" t="inlineStr">
        <is>
          <t>viste</t>
        </is>
      </c>
      <c r="C27" s="7" t="inlineStr">
        <is>
          <t>Muletilla para confirmar que el interlocutor sigue el relato; equivale a «¿sabés?» o «¿entendés?».</t>
        </is>
      </c>
      <c r="D27" s="7" t="inlineStr">
        <is>
          <t>definición del grupo (no figura en Wikcionario ni en diccionarioargentino.com)</t>
        </is>
      </c>
      <c r="E27" s="7" t="inlineStr">
        <is>
          <t>Las tardecitas de Buenos Aires tiene ese qué sé yo, ¿viste? / Salís de tu casa por Arenales, lo de siempre en la calle y en</t>
        </is>
      </c>
      <c r="F27" s="7" t="inlineStr">
        <is>
          <t>Balada Para un Loco · Roberto Goyeneche (1969)</t>
        </is>
      </c>
      <c r="G27" s="7" t="inlineStr"/>
      <c r="H27" s="7" t="inlineStr"/>
      <c r="I27" s="9" t="inlineStr"/>
      <c r="J27" s="9" t="inlineStr"/>
      <c r="K27" s="9" t="inlineStr"/>
      <c r="L27" s="9" t="inlineStr"/>
      <c r="M27" s="9" t="inlineStr"/>
      <c r="N27" s="9" t="inlineStr"/>
      <c r="O27" s="9" t="inlineStr"/>
      <c r="P27" s="9" t="inlineStr"/>
      <c r="Q27" s="7">
        <f>IF(OR(J27="",N27=""),"",IF(J27=N27,"sí","no"))</f>
        <v/>
      </c>
      <c r="R27" s="7">
        <f>IF(OR(K27="",O27=""),"",IF(K27=O27,"sí","no"))</f>
        <v/>
      </c>
      <c r="S27" s="9" t="inlineStr"/>
      <c r="T27" s="9" t="inlineStr"/>
      <c r="U27" s="9" t="inlineStr"/>
    </row>
    <row r="28" ht="45" customHeight="1">
      <c r="A28" s="7" t="inlineStr">
        <is>
          <t>CUR-027</t>
        </is>
      </c>
      <c r="B28" s="7" t="inlineStr">
        <is>
          <t>flor</t>
        </is>
      </c>
      <c r="C28" s="7" t="inlineStr">
        <is>
          <t>Antepuesto a un sustantivo, indica que es grande o notable: flor de susto, flor de quilombo.</t>
        </is>
      </c>
      <c r="D28" s="7" t="inlineStr">
        <is>
          <t>definición del grupo (el sentido intensificador no figura en las tres fuentes del pipeline)</t>
        </is>
      </c>
      <c r="E28" s="7" t="inlineStr">
        <is>
          <t>te da también te quita / Que se hace la viva y está muerta la mosquita / Que parecía un duro y es un flor de mantequita</t>
        </is>
      </c>
      <c r="F28" s="7" t="inlineStr">
        <is>
          <t>Esa mierda · Sara Hebe (2012)</t>
        </is>
      </c>
      <c r="G28" s="7" t="inlineStr">
        <is>
          <t>La luz de todos los colores, cantando / El color de una piel y de una flor / Una guitarra y tu voz</t>
        </is>
      </c>
      <c r="H28" s="7" t="inlineStr">
        <is>
          <t>Estaré · Los Visitantes (1996)</t>
        </is>
      </c>
      <c r="I28" s="9" t="inlineStr"/>
      <c r="J28" s="9" t="inlineStr"/>
      <c r="K28" s="9" t="inlineStr"/>
      <c r="L28" s="9" t="inlineStr"/>
      <c r="M28" s="9" t="inlineStr"/>
      <c r="N28" s="9" t="inlineStr"/>
      <c r="O28" s="9" t="inlineStr"/>
      <c r="P28" s="9" t="inlineStr"/>
      <c r="Q28" s="7">
        <f>IF(OR(J28="",N28=""),"",IF(J28=N28,"sí","no"))</f>
        <v/>
      </c>
      <c r="R28" s="7">
        <f>IF(OR(K28="",O28=""),"",IF(K28=O28,"sí","no"))</f>
        <v/>
      </c>
      <c r="S28" s="9" t="inlineStr"/>
      <c r="T28" s="9" t="inlineStr"/>
      <c r="U28" s="9" t="inlineStr"/>
    </row>
    <row r="29" ht="45" customHeight="1">
      <c r="A29" s="7" t="inlineStr">
        <is>
          <t>CUR-028</t>
        </is>
      </c>
      <c r="B29" s="7" t="inlineStr">
        <is>
          <t>quilombo</t>
        </is>
      </c>
      <c r="C29" s="7" t="inlineStr">
        <is>
          <t>Forma de decir caos, desorden, pelea, un gran problema.</t>
        </is>
      </c>
      <c r="D29" s="8" t="inlineStr">
        <is>
          <t>diccionarioargentino.com</t>
        </is>
      </c>
      <c r="E29" s="7" t="inlineStr">
        <is>
          <t>que pega como Cotto / Soy de lo' pibes del fondo (Uh), de los adicto' al quilombo (Uh) / Mejor no ronquen con mi combo (Más na')</t>
        </is>
      </c>
      <c r="F29" s="7" t="inlineStr">
        <is>
          <t>Hello Cotto · Duki (2017)</t>
        </is>
      </c>
      <c r="G29" s="7" t="inlineStr">
        <is>
          <t>Estamos todos jugados, nada nos importa ya / Sigamos haciendo quilombo / La yuta no nos va llevar</t>
        </is>
      </c>
      <c r="H29" s="7" t="inlineStr">
        <is>
          <t>Los Pibes Chorros · Los Pibes Chorros (2001)</t>
        </is>
      </c>
      <c r="I29" s="9" t="inlineStr"/>
      <c r="J29" s="9" t="inlineStr"/>
      <c r="K29" s="9" t="inlineStr"/>
      <c r="L29" s="9" t="inlineStr"/>
      <c r="M29" s="9" t="inlineStr"/>
      <c r="N29" s="9" t="inlineStr"/>
      <c r="O29" s="9" t="inlineStr"/>
      <c r="P29" s="9" t="inlineStr"/>
      <c r="Q29" s="7">
        <f>IF(OR(J29="",N29=""),"",IF(J29=N29,"sí","no"))</f>
        <v/>
      </c>
      <c r="R29" s="7">
        <f>IF(OR(K29="",O29=""),"",IF(K29=O29,"sí","no"))</f>
        <v/>
      </c>
      <c r="S29" s="9" t="inlineStr"/>
      <c r="T29" s="9" t="inlineStr"/>
      <c r="U29" s="9" t="inlineStr"/>
    </row>
    <row r="30" ht="60" customHeight="1">
      <c r="A30" s="7" t="inlineStr">
        <is>
          <t>CUR-029</t>
        </is>
      </c>
      <c r="B30" s="7" t="inlineStr">
        <is>
          <t>jalar</t>
        </is>
      </c>
      <c r="C30" s="7" t="inlineStr">
        <is>
          <t>Inhalar con fines psicoactivos los vapores de un disolvente, generalmente colocándolo en una bolsa que se acerca a la boca y la nariz.</t>
        </is>
      </c>
      <c r="D30" s="7" t="inlineStr">
        <is>
          <t>Wikcionario</t>
        </is>
      </c>
      <c r="E30" s="7" t="inlineStr">
        <is>
          <t>Podés encontrarme por ahí, perdido sin Waze / Jalando popper con los gays / El día que muera, moriré en mi ley</t>
        </is>
      </c>
      <c r="F30" s="7" t="inlineStr">
        <is>
          <t>Buenos tiempos · Dillom (2024)</t>
        </is>
      </c>
      <c r="G30" s="7" t="inlineStr">
        <is>
          <t>Te busco x esos pasillos / Por ti jalo el gatillo / Que lo que tenga q pasar</t>
        </is>
      </c>
      <c r="H30" s="7" t="inlineStr">
        <is>
          <t>Quiero · Stefy Xipolitakis</t>
        </is>
      </c>
      <c r="I30" s="9" t="inlineStr"/>
      <c r="J30" s="9" t="inlineStr"/>
      <c r="K30" s="9" t="inlineStr"/>
      <c r="L30" s="9" t="inlineStr"/>
      <c r="M30" s="9" t="inlineStr"/>
      <c r="N30" s="9" t="inlineStr"/>
      <c r="O30" s="9" t="inlineStr"/>
      <c r="P30" s="9" t="inlineStr"/>
      <c r="Q30" s="7">
        <f>IF(OR(J30="",N30=""),"",IF(J30=N30,"sí","no"))</f>
        <v/>
      </c>
      <c r="R30" s="7">
        <f>IF(OR(K30="",O30=""),"",IF(K30=O30,"sí","no"))</f>
        <v/>
      </c>
      <c r="S30" s="9" t="inlineStr"/>
      <c r="T30" s="9" t="inlineStr"/>
      <c r="U30" s="9" t="inlineStr"/>
    </row>
    <row r="31" ht="45" customHeight="1">
      <c r="A31" s="7" t="inlineStr">
        <is>
          <t>CUR-030</t>
        </is>
      </c>
      <c r="B31" s="7" t="inlineStr">
        <is>
          <t>tesoro</t>
        </is>
      </c>
      <c r="C31" s="7" t="inlineStr">
        <is>
          <t>Depósito de plata, oro, y otros bienes de gran valor.</t>
        </is>
      </c>
      <c r="D31" s="7" t="inlineStr">
        <is>
          <t>Wikcionario</t>
        </is>
      </c>
      <c r="E31" s="7" t="inlineStr">
        <is>
          <t>Vamos a desembarcar / Muchos tesoros, joyas y perlas / Que ha conseguido ganar</t>
        </is>
      </c>
      <c r="F31" s="7" t="inlineStr">
        <is>
          <t>El Pirata Cara de Rata · Flor Ansaldo (2020)</t>
        </is>
      </c>
      <c r="G31" s="7" t="inlineStr">
        <is>
          <t>De tus ojos nunca quiero verme lejos / ¡Divinos tesoros de amor y de ensueño! / De tus ojos vivo</t>
        </is>
      </c>
      <c r="H31" s="7" t="inlineStr">
        <is>
          <t>Ruego · Felipe Boero</t>
        </is>
      </c>
      <c r="I31" s="9" t="inlineStr"/>
      <c r="J31" s="9" t="inlineStr"/>
      <c r="K31" s="9" t="inlineStr"/>
      <c r="L31" s="9" t="inlineStr"/>
      <c r="M31" s="9" t="inlineStr"/>
      <c r="N31" s="9" t="inlineStr"/>
      <c r="O31" s="9" t="inlineStr"/>
      <c r="P31" s="9" t="inlineStr"/>
      <c r="Q31" s="7">
        <f>IF(OR(J31="",N31=""),"",IF(J31=N31,"sí","no"))</f>
        <v/>
      </c>
      <c r="R31" s="7">
        <f>IF(OR(K31="",O31=""),"",IF(K31=O31,"sí","no"))</f>
        <v/>
      </c>
      <c r="S31" s="9" t="inlineStr"/>
      <c r="T31" s="9" t="inlineStr"/>
      <c r="U31" s="9" t="inlineStr"/>
    </row>
    <row r="32" ht="45" customHeight="1">
      <c r="A32" s="7" t="inlineStr">
        <is>
          <t>CUR-031</t>
        </is>
      </c>
      <c r="B32" s="7" t="inlineStr">
        <is>
          <t>capo</t>
        </is>
      </c>
      <c r="C32" s="7" t="inlineStr">
        <is>
          <t>Ser capo es ser muy bueno en algo, ser el mejor.</t>
        </is>
      </c>
      <c r="D32" s="8" t="inlineStr">
        <is>
          <t>diccionarioargentino.com</t>
        </is>
      </c>
      <c r="E32" s="7" t="inlineStr">
        <is>
          <t>quedo guapo si la ven conmigo, eh / Guapo eh, guapo, uh, sapo, soy el capo del hood / Tanto al mes, tanto flu', guapo, guapo, guapo</t>
        </is>
      </c>
      <c r="F32" s="7" t="inlineStr">
        <is>
          <t>Guapo · YSY A (2018)</t>
        </is>
      </c>
      <c r="G32" s="7" t="inlineStr">
        <is>
          <t>¡Con sentimiento! / El Ruca, el Loco Ale y Toca, el capo de la villa / Re tirado y descontrolado, un pucho loco me estoy fumando</t>
        </is>
      </c>
      <c r="H32" s="7" t="inlineStr">
        <is>
          <t>Pucho Loco · Damas Gratis (2008)</t>
        </is>
      </c>
      <c r="I32" s="9" t="inlineStr"/>
      <c r="J32" s="9" t="inlineStr"/>
      <c r="K32" s="9" t="inlineStr"/>
      <c r="L32" s="9" t="inlineStr"/>
      <c r="M32" s="9" t="inlineStr"/>
      <c r="N32" s="9" t="inlineStr"/>
      <c r="O32" s="9" t="inlineStr"/>
      <c r="P32" s="9" t="inlineStr"/>
      <c r="Q32" s="7">
        <f>IF(OR(J32="",N32=""),"",IF(J32=N32,"sí","no"))</f>
        <v/>
      </c>
      <c r="R32" s="7">
        <f>IF(OR(K32="",O32=""),"",IF(K32=O32,"sí","no"))</f>
        <v/>
      </c>
      <c r="S32" s="9" t="inlineStr"/>
      <c r="T32" s="9" t="inlineStr"/>
      <c r="U32" s="9" t="inlineStr"/>
    </row>
    <row r="33" ht="45" customHeight="1">
      <c r="A33" s="7" t="inlineStr">
        <is>
          <t>CUR-032</t>
        </is>
      </c>
      <c r="B33" s="7" t="inlineStr">
        <is>
          <t>muerto</t>
        </is>
      </c>
      <c r="C33" s="7" t="inlineStr">
        <is>
          <t>Inhábil, sobre todo cuando refiere a juegos o deportes.</t>
        </is>
      </c>
      <c r="D33" s="7" t="inlineStr">
        <is>
          <t>Wikcionario</t>
        </is>
      </c>
      <c r="E33" s="7" t="inlineStr">
        <is>
          <t>nunca me quiso, y estoy loco por su beso / Mañana puedo estar muerto, como también estar preso / Si salgo de casa, no sabré si vo'a</t>
        </is>
      </c>
      <c r="F33" s="7" t="inlineStr">
        <is>
          <t>Freestyle Session #5 · Zaramay (2019)</t>
        </is>
      </c>
      <c r="G33" s="7" t="inlineStr">
        <is>
          <t>Ver fuerza salir del lodo / Watch me, ya muerta, pero escribiendo hits / I am confuse como Cuasimodo</t>
        </is>
      </c>
      <c r="H33" s="7" t="inlineStr">
        <is>
          <t>KAMIKAZE · Sofía Gabanna (2023)</t>
        </is>
      </c>
      <c r="I33" s="9" t="inlineStr"/>
      <c r="J33" s="9" t="inlineStr"/>
      <c r="K33" s="9" t="inlineStr"/>
      <c r="L33" s="9" t="inlineStr"/>
      <c r="M33" s="9" t="inlineStr"/>
      <c r="N33" s="9" t="inlineStr"/>
      <c r="O33" s="9" t="inlineStr"/>
      <c r="P33" s="9" t="inlineStr"/>
      <c r="Q33" s="7">
        <f>IF(OR(J33="",N33=""),"",IF(J33=N33,"sí","no"))</f>
        <v/>
      </c>
      <c r="R33" s="7">
        <f>IF(OR(K33="",O33=""),"",IF(K33=O33,"sí","no"))</f>
        <v/>
      </c>
      <c r="S33" s="9" t="inlineStr"/>
      <c r="T33" s="9" t="inlineStr"/>
      <c r="U33" s="9" t="inlineStr"/>
    </row>
    <row r="34" ht="45" customHeight="1">
      <c r="A34" s="7" t="inlineStr">
        <is>
          <t>CUR-033</t>
        </is>
      </c>
      <c r="B34" s="7" t="inlineStr">
        <is>
          <t>birra</t>
        </is>
      </c>
      <c r="C34" s="7" t="inlineStr">
        <is>
          <t>Forma de decirle a la cerveza.</t>
        </is>
      </c>
      <c r="D34" s="8" t="inlineStr">
        <is>
          <t>diccionarioargentino.com</t>
        </is>
      </c>
      <c r="E34" s="7" t="inlineStr">
        <is>
          <t>Acá siempre son 4:20, y estamo' de la cabeza, con simpleza / Birra barata y mala en lata, má' la planta santa esa / La que calma</t>
        </is>
      </c>
      <c r="F34" s="7" t="inlineStr">
        <is>
          <t>CANGURO · WOS (2019)</t>
        </is>
      </c>
      <c r="G34" s="7" t="inlineStr">
        <is>
          <t>se hace larga tengo que remar / Si es un día de calor unas birras tomar / Pero hay algo que me atrapa y no puedo escapar</t>
        </is>
      </c>
      <c r="H34" s="7" t="inlineStr">
        <is>
          <t>Lo Peor · Kumbia Queers (2015)</t>
        </is>
      </c>
      <c r="I34" s="9" t="inlineStr"/>
      <c r="J34" s="9" t="inlineStr"/>
      <c r="K34" s="9" t="inlineStr"/>
      <c r="L34" s="9" t="inlineStr"/>
      <c r="M34" s="9" t="inlineStr"/>
      <c r="N34" s="9" t="inlineStr"/>
      <c r="O34" s="9" t="inlineStr"/>
      <c r="P34" s="9" t="inlineStr"/>
      <c r="Q34" s="7">
        <f>IF(OR(J34="",N34=""),"",IF(J34=N34,"sí","no"))</f>
        <v/>
      </c>
      <c r="R34" s="7">
        <f>IF(OR(K34="",O34=""),"",IF(K34=O34,"sí","no"))</f>
        <v/>
      </c>
      <c r="S34" s="9" t="inlineStr"/>
      <c r="T34" s="9" t="inlineStr"/>
      <c r="U34" s="9" t="inlineStr"/>
    </row>
    <row r="35" ht="45" customHeight="1">
      <c r="A35" s="7" t="inlineStr">
        <is>
          <t>CUR-034</t>
        </is>
      </c>
      <c r="B35" s="7" t="inlineStr">
        <is>
          <t>vento</t>
        </is>
      </c>
      <c r="C35" s="7" t="inlineStr">
        <is>
          <t>Dinero, en especial en efectivo.</t>
        </is>
      </c>
      <c r="D35" s="7" t="inlineStr">
        <is>
          <t>Wikcionario</t>
        </is>
      </c>
      <c r="E35" s="7" t="inlineStr">
        <is>
          <t>Y al vivo le baten rana / La guita o el vento es / El dinero que circula</t>
        </is>
      </c>
      <c r="F35" s="7" t="inlineStr">
        <is>
          <t>Milonga Lunfarda · Edmundo Rivero (1972)</t>
        </is>
      </c>
      <c r="G35" s="7" t="inlineStr">
        <is>
          <t>'Tam-tam-tamo' chelo / Mis ñeri' toman tussi en un Vento / De como terminamo', mejor no te cuento</t>
        </is>
      </c>
      <c r="H35" s="7" t="inlineStr">
        <is>
          <t>Tamo Chelo · El Noba (2021)</t>
        </is>
      </c>
      <c r="I35" s="9" t="inlineStr"/>
      <c r="J35" s="9" t="inlineStr"/>
      <c r="K35" s="9" t="inlineStr"/>
      <c r="L35" s="9" t="inlineStr"/>
      <c r="M35" s="9" t="inlineStr"/>
      <c r="N35" s="9" t="inlineStr"/>
      <c r="O35" s="9" t="inlineStr"/>
      <c r="P35" s="9" t="inlineStr"/>
      <c r="Q35" s="7">
        <f>IF(OR(J35="",N35=""),"",IF(J35=N35,"sí","no"))</f>
        <v/>
      </c>
      <c r="R35" s="7">
        <f>IF(OR(K35="",O35=""),"",IF(K35=O35,"sí","no"))</f>
        <v/>
      </c>
      <c r="S35" s="9" t="inlineStr"/>
      <c r="T35" s="9" t="inlineStr"/>
      <c r="U35" s="9" t="inlineStr"/>
    </row>
    <row r="36" ht="45" customHeight="1">
      <c r="A36" s="7" t="inlineStr">
        <is>
          <t>CUR-035</t>
        </is>
      </c>
      <c r="B36" s="7" t="inlineStr">
        <is>
          <t>fierro</t>
        </is>
      </c>
      <c r="C36" s="7" t="inlineStr">
        <is>
          <t>Arma de fuego.</t>
        </is>
      </c>
      <c r="D36" s="8" t="inlineStr">
        <is>
          <t>diccionarioargentino.com</t>
        </is>
      </c>
      <c r="E36" s="7" t="inlineStr">
        <is>
          <t>de usar tanga (Jaja) / Pa' pelea' el Luna Park, desde que hay fierro nadie e' langa / No pode' hablar de má' cuando hay dos ase'</t>
        </is>
      </c>
      <c r="F36" s="7" t="inlineStr">
        <is>
          <t>Freestyle Session #14 “LOS INTOCABLES” · Zaramay (2021)</t>
        </is>
      </c>
      <c r="G36" s="7" t="inlineStr">
        <is>
          <t>La mafia a tu banda la saca del vuelo / Y listo, llevo fierro cheto y chico / Porque .9 usan los milico' (Oh)</t>
        </is>
      </c>
      <c r="H36" s="7" t="inlineStr">
        <is>
          <t>Tamo Chelo (Remix) · EL NOBA (2022)</t>
        </is>
      </c>
      <c r="I36" s="9" t="inlineStr"/>
      <c r="J36" s="9" t="inlineStr"/>
      <c r="K36" s="9" t="inlineStr"/>
      <c r="L36" s="9" t="inlineStr"/>
      <c r="M36" s="9" t="inlineStr"/>
      <c r="N36" s="9" t="inlineStr"/>
      <c r="O36" s="9" t="inlineStr"/>
      <c r="P36" s="9" t="inlineStr"/>
      <c r="Q36" s="7">
        <f>IF(OR(J36="",N36=""),"",IF(J36=N36,"sí","no"))</f>
        <v/>
      </c>
      <c r="R36" s="7">
        <f>IF(OR(K36="",O36=""),"",IF(K36=O36,"sí","no"))</f>
        <v/>
      </c>
      <c r="S36" s="9" t="inlineStr"/>
      <c r="T36" s="9" t="inlineStr"/>
      <c r="U36" s="9" t="inlineStr"/>
    </row>
    <row r="37" ht="45" customHeight="1">
      <c r="A37" s="7" t="inlineStr">
        <is>
          <t>CUR-036</t>
        </is>
      </c>
      <c r="B37" s="7" t="inlineStr">
        <is>
          <t>turro</t>
        </is>
      </c>
      <c r="C37" s="7" t="inlineStr">
        <is>
          <t>Persona de mal proceder, de poca confianza.</t>
        </is>
      </c>
      <c r="D37" s="8" t="inlineStr">
        <is>
          <t>diccionarioargentino.com</t>
        </is>
      </c>
      <c r="E37" s="7" t="inlineStr">
        <is>
          <t>son más de lo mismo (Oh, oh) / Y que vos querés un turro que esté puesto pa' quererte / Y pa' sacarte de tu vida normal</t>
        </is>
      </c>
      <c r="F37" s="7" t="inlineStr">
        <is>
          <t>Mamichula · Trueno (2020)</t>
        </is>
      </c>
      <c r="G37" s="7" t="inlineStr">
        <is>
          <t>Pa' eso feka' tengo repelente / Yo no soy un turro, tengo el corazón valiente, yah / Yo soy del barrio desde que nací</t>
        </is>
      </c>
      <c r="H37" s="7" t="inlineStr">
        <is>
          <t>Azul y Oro · Trueno (2020)</t>
        </is>
      </c>
      <c r="I37" s="9" t="inlineStr"/>
      <c r="J37" s="9" t="inlineStr"/>
      <c r="K37" s="9" t="inlineStr"/>
      <c r="L37" s="9" t="inlineStr"/>
      <c r="M37" s="9" t="inlineStr"/>
      <c r="N37" s="9" t="inlineStr"/>
      <c r="O37" s="9" t="inlineStr"/>
      <c r="P37" s="9" t="inlineStr"/>
      <c r="Q37" s="7">
        <f>IF(OR(J37="",N37=""),"",IF(J37=N37,"sí","no"))</f>
        <v/>
      </c>
      <c r="R37" s="7">
        <f>IF(OR(K37="",O37=""),"",IF(K37=O37,"sí","no"))</f>
        <v/>
      </c>
      <c r="S37" s="9" t="inlineStr"/>
      <c r="T37" s="9" t="inlineStr"/>
      <c r="U37" s="9" t="inlineStr"/>
    </row>
    <row r="38" ht="45" customHeight="1">
      <c r="A38" s="7" t="inlineStr">
        <is>
          <t>CUR-037</t>
        </is>
      </c>
      <c r="B38" s="7" t="inlineStr">
        <is>
          <t>dormir</t>
        </is>
      </c>
      <c r="C38" s="7" t="inlineStr">
        <is>
          <t>Engañar a alguien para obtener un beneficio.</t>
        </is>
      </c>
      <c r="D38" s="7" t="inlineStr">
        <is>
          <t>Wikcionario</t>
        </is>
      </c>
      <c r="E38" s="7" t="inlineStr">
        <is>
          <t>Cuando pierda todas las partidas / Cuando duerma con la soledad / Cuando se me cierren las salidas</t>
        </is>
      </c>
      <c r="F38" s="7" t="inlineStr">
        <is>
          <t>Resistiré (Versión Reggaetón) · Zulma Lobato (2009)</t>
        </is>
      </c>
      <c r="G38" s="7" t="inlineStr">
        <is>
          <t>Turbulencia, aguamiel / El día se durmió / Aplazado al calor, pasionaria</t>
        </is>
      </c>
      <c r="H38" s="7" t="inlineStr">
        <is>
          <t>Alas de la Mañana · Lito Epumer (2004)</t>
        </is>
      </c>
      <c r="I38" s="9" t="inlineStr"/>
      <c r="J38" s="9" t="inlineStr"/>
      <c r="K38" s="9" t="inlineStr"/>
      <c r="L38" s="9" t="inlineStr"/>
      <c r="M38" s="9" t="inlineStr"/>
      <c r="N38" s="9" t="inlineStr"/>
      <c r="O38" s="9" t="inlineStr"/>
      <c r="P38" s="9" t="inlineStr"/>
      <c r="Q38" s="7">
        <f>IF(OR(J38="",N38=""),"",IF(J38=N38,"sí","no"))</f>
        <v/>
      </c>
      <c r="R38" s="7">
        <f>IF(OR(K38="",O38=""),"",IF(K38=O38,"sí","no"))</f>
        <v/>
      </c>
      <c r="S38" s="9" t="inlineStr"/>
      <c r="T38" s="9" t="inlineStr"/>
      <c r="U38" s="9" t="inlineStr"/>
    </row>
    <row r="39" ht="60" customHeight="1">
      <c r="A39" s="7" t="inlineStr">
        <is>
          <t>CUR-038</t>
        </is>
      </c>
      <c r="B39" s="7" t="inlineStr">
        <is>
          <t>taco</t>
        </is>
      </c>
      <c r="C39" s="7" t="inlineStr">
        <is>
          <t>Parte posterior elevada del calzado.</t>
        </is>
      </c>
      <c r="D39" s="7" t="inlineStr">
        <is>
          <t>Wikcionario</t>
        </is>
      </c>
      <c r="E39" s="7" t="inlineStr">
        <is>
          <t>elegante hablando, lady, no hace falta un saco / Y a ti pa' ser mujer no te hacen falta tacos / Mis negro' experimentan con el amoniaco</t>
        </is>
      </c>
      <c r="F39" s="7" t="inlineStr">
        <is>
          <t>Nena · Zaramay (2018)</t>
        </is>
      </c>
      <c r="G39" s="7" t="inlineStr">
        <is>
          <t>Salta, bitch, jumpin' and jumpin' (Jumpin'), jumpin' / Bitch, now, la quiero en tacos, compitiendo como Elvira Hancock (Uh) / Que tengo mis puta' pero quiero a</t>
        </is>
      </c>
      <c r="H39" s="7" t="inlineStr">
        <is>
          <t>Elvira · 808God (2016)</t>
        </is>
      </c>
      <c r="I39" s="9" t="inlineStr"/>
      <c r="J39" s="9" t="inlineStr"/>
      <c r="K39" s="9" t="inlineStr"/>
      <c r="L39" s="9" t="inlineStr"/>
      <c r="M39" s="9" t="inlineStr"/>
      <c r="N39" s="9" t="inlineStr"/>
      <c r="O39" s="9" t="inlineStr"/>
      <c r="P39" s="9" t="inlineStr"/>
      <c r="Q39" s="7">
        <f>IF(OR(J39="",N39=""),"",IF(J39=N39,"sí","no"))</f>
        <v/>
      </c>
      <c r="R39" s="7">
        <f>IF(OR(K39="",O39=""),"",IF(K39=O39,"sí","no"))</f>
        <v/>
      </c>
      <c r="S39" s="9" t="inlineStr"/>
      <c r="T39" s="9" t="inlineStr"/>
      <c r="U39" s="9" t="inlineStr"/>
    </row>
    <row r="40" ht="45" customHeight="1">
      <c r="A40" s="7" t="inlineStr">
        <is>
          <t>CUR-039</t>
        </is>
      </c>
      <c r="B40" s="7" t="inlineStr">
        <is>
          <t>boludo</t>
        </is>
      </c>
      <c r="C40" s="7" t="inlineStr">
        <is>
          <t>Persona estupida, tonta, una persona imbecil</t>
        </is>
      </c>
      <c r="D40" s="8" t="inlineStr">
        <is>
          <t>diccionarioargentino.com</t>
        </is>
      </c>
      <c r="E40" s="7" t="inlineStr">
        <is>
          <t>a llevarte a lo profundo de mi mente / ¿Te pensás que soy boludo? ¿Que no sé cuándo me mienten? / Te pensás que yo no tengo</t>
        </is>
      </c>
      <c r="F40" s="7" t="inlineStr">
        <is>
          <t>Muñecas · Dillom (2024)</t>
        </is>
      </c>
      <c r="G40" s="7" t="inlineStr">
        <is>
          <t>Me la pone tan gorda que le hacen body-shaming / (Ay, same, boluda, yo también tengo ascendente en sagitario,</t>
        </is>
      </c>
      <c r="H40" s="7" t="inlineStr">
        <is>
          <t>Buenos tiempos · Dillom (2024)</t>
        </is>
      </c>
      <c r="I40" s="9" t="inlineStr"/>
      <c r="J40" s="9" t="inlineStr"/>
      <c r="K40" s="9" t="inlineStr"/>
      <c r="L40" s="9" t="inlineStr"/>
      <c r="M40" s="9" t="inlineStr"/>
      <c r="N40" s="9" t="inlineStr"/>
      <c r="O40" s="9" t="inlineStr"/>
      <c r="P40" s="9" t="inlineStr"/>
      <c r="Q40" s="7">
        <f>IF(OR(J40="",N40=""),"",IF(J40=N40,"sí","no"))</f>
        <v/>
      </c>
      <c r="R40" s="7">
        <f>IF(OR(K40="",O40=""),"",IF(K40=O40,"sí","no"))</f>
        <v/>
      </c>
      <c r="S40" s="9" t="inlineStr"/>
      <c r="T40" s="9" t="inlineStr"/>
      <c r="U40" s="9" t="inlineStr"/>
    </row>
    <row r="41" ht="45" customHeight="1">
      <c r="A41" s="7" t="inlineStr">
        <is>
          <t>CUR-040</t>
        </is>
      </c>
      <c r="B41" s="7" t="inlineStr">
        <is>
          <t>mate</t>
        </is>
      </c>
      <c r="C41" s="7" t="inlineStr">
        <is>
          <t>Bebida con yerba, tradicional de Argentina. CÓMO NO VAS A SABER QUÉ ES UN MATE?! xd</t>
        </is>
      </c>
      <c r="D41" s="8" t="inlineStr">
        <is>
          <t>diccionarioargentino.com</t>
        </is>
      </c>
      <c r="E41" s="7" t="inlineStr">
        <is>
          <t>Por vos he morfao más canas / Que pelos tengo en el mate / Por vos hizo el disparate</t>
        </is>
      </c>
      <c r="F41" s="7" t="inlineStr">
        <is>
          <t>Apología del Tango · Tita Merello (1969)</t>
        </is>
      </c>
      <c r="G41" s="7" t="inlineStr">
        <is>
          <t>Siempre traigo bizcochitos / Pa' tomar con matecito / Como si estuvieras vos</t>
        </is>
      </c>
      <c r="H41" s="7" t="inlineStr">
        <is>
          <t>Mi noche triste · Carlos Gardel (1917)</t>
        </is>
      </c>
      <c r="I41" s="9" t="inlineStr"/>
      <c r="J41" s="9" t="inlineStr"/>
      <c r="K41" s="9" t="inlineStr"/>
      <c r="L41" s="9" t="inlineStr"/>
      <c r="M41" s="9" t="inlineStr"/>
      <c r="N41" s="9" t="inlineStr"/>
      <c r="O41" s="9" t="inlineStr"/>
      <c r="P41" s="9" t="inlineStr"/>
      <c r="Q41" s="7">
        <f>IF(OR(J41="",N41=""),"",IF(J41=N41,"sí","no"))</f>
        <v/>
      </c>
      <c r="R41" s="7">
        <f>IF(OR(K41="",O41=""),"",IF(K41=O41,"sí","no"))</f>
        <v/>
      </c>
      <c r="S41" s="9" t="inlineStr"/>
      <c r="T41" s="9" t="inlineStr"/>
      <c r="U41" s="9" t="inlineStr"/>
    </row>
    <row r="42" ht="45" customHeight="1">
      <c r="A42" s="7" t="inlineStr">
        <is>
          <t>CUR-041</t>
        </is>
      </c>
      <c r="B42" s="7" t="inlineStr">
        <is>
          <t>cargar</t>
        </is>
      </c>
      <c r="C42" s="7" t="inlineStr">
        <is>
          <t>Tomarle el pelo a alguien.</t>
        </is>
      </c>
      <c r="D42" s="8" t="inlineStr">
        <is>
          <t>diccionarioargentino.com</t>
        </is>
      </c>
      <c r="E42" s="7" t="inlineStr">
        <is>
          <t>Me puse a pensar si vale la pena / Cargar esa cruz por ti, por mí / Dame una señal</t>
        </is>
      </c>
      <c r="F42" s="7" t="inlineStr">
        <is>
          <t>Cuero 皮膚 · Yesan 雪山 (2023)</t>
        </is>
      </c>
      <c r="G42" s="7" t="inlineStr">
        <is>
          <t>Hicimos del ruido las respuestas / Caminamos los desposeídos cargando los mantos que cubrirán sus cuerpos</t>
        </is>
      </c>
      <c r="H42" s="7" t="inlineStr">
        <is>
          <t>Pedagogía de la venganza · Cienfuegos (2021)</t>
        </is>
      </c>
      <c r="I42" s="9" t="inlineStr"/>
      <c r="J42" s="9" t="inlineStr"/>
      <c r="K42" s="9" t="inlineStr"/>
      <c r="L42" s="9" t="inlineStr"/>
      <c r="M42" s="9" t="inlineStr"/>
      <c r="N42" s="9" t="inlineStr"/>
      <c r="O42" s="9" t="inlineStr"/>
      <c r="P42" s="9" t="inlineStr"/>
      <c r="Q42" s="7">
        <f>IF(OR(J42="",N42=""),"",IF(J42=N42,"sí","no"))</f>
        <v/>
      </c>
      <c r="R42" s="7">
        <f>IF(OR(K42="",O42=""),"",IF(K42=O42,"sí","no"))</f>
        <v/>
      </c>
      <c r="S42" s="9" t="inlineStr"/>
      <c r="T42" s="9" t="inlineStr"/>
      <c r="U42" s="9" t="inlineStr"/>
    </row>
    <row r="43" ht="60" customHeight="1">
      <c r="A43" s="7" t="inlineStr">
        <is>
          <t>CUR-042</t>
        </is>
      </c>
      <c r="B43" s="7" t="inlineStr">
        <is>
          <t>blanca</t>
        </is>
      </c>
      <c r="C43" s="7" t="inlineStr">
        <is>
          <t>Principio activo de la coca extraído en forma de clorhidrato, usado como medicamento y en especial como droga recreativa.</t>
        </is>
      </c>
      <c r="D43" s="7" t="inlineStr">
        <is>
          <t>Wikcionario</t>
        </is>
      </c>
      <c r="E43" s="7" t="inlineStr">
        <is>
          <t>Una guitarra y tu voz / La blanca y cálida luz / Del sol</t>
        </is>
      </c>
      <c r="F43" s="7" t="inlineStr">
        <is>
          <t>Estaré · Los Visitantes (1996)</t>
        </is>
      </c>
      <c r="G43" s="7" t="inlineStr">
        <is>
          <t>Conocí una cheta con la piel naranja / Ella tomaba keta y yo tomaba blanca / Me dijo que se drogaba una vez cada tanto</t>
        </is>
      </c>
      <c r="H43" s="7" t="inlineStr">
        <is>
          <t>Buenos tiempos · Dillom (2024)</t>
        </is>
      </c>
      <c r="I43" s="9" t="inlineStr"/>
      <c r="J43" s="9" t="inlineStr"/>
      <c r="K43" s="9" t="inlineStr"/>
      <c r="L43" s="9" t="inlineStr"/>
      <c r="M43" s="9" t="inlineStr"/>
      <c r="N43" s="9" t="inlineStr"/>
      <c r="O43" s="9" t="inlineStr"/>
      <c r="P43" s="9" t="inlineStr"/>
      <c r="Q43" s="7">
        <f>IF(OR(J43="",N43=""),"",IF(J43=N43,"sí","no"))</f>
        <v/>
      </c>
      <c r="R43" s="7">
        <f>IF(OR(K43="",O43=""),"",IF(K43=O43,"sí","no"))</f>
        <v/>
      </c>
      <c r="S43" s="9" t="inlineStr"/>
      <c r="T43" s="9" t="inlineStr"/>
      <c r="U43" s="9" t="inlineStr"/>
    </row>
    <row r="44" ht="45" customHeight="1">
      <c r="A44" s="7" t="inlineStr">
        <is>
          <t>CUR-043</t>
        </is>
      </c>
      <c r="B44" s="7" t="inlineStr">
        <is>
          <t>raro</t>
        </is>
      </c>
      <c r="C44" s="7" t="inlineStr">
        <is>
          <t>Que no es corriente, que es diferente a lo común en su clase.</t>
        </is>
      </c>
      <c r="D44" s="7" t="inlineStr">
        <is>
          <t>Wikcionario</t>
        </is>
      </c>
      <c r="E44" s="7" t="inlineStr">
        <is>
          <t>Algunas personas no saben de lo que yo hablo / Dicen que esto es raro y eso es un halago / Dicen que esto es</t>
        </is>
      </c>
      <c r="F44" s="7" t="inlineStr">
        <is>
          <t>No Hay Rencor · Sofía Gabanna (2019)</t>
        </is>
      </c>
      <c r="G44" s="7" t="inlineStr">
        <is>
          <t>es que te molesta (Wow, yeah) / Sé que a veces soy muy raro y no te doy respuesta, huh (Skrrt) / Pero estás enamora', tu cara</t>
        </is>
      </c>
      <c r="H44" s="7" t="inlineStr">
        <is>
          <t>iPhone · Zell (2024)</t>
        </is>
      </c>
      <c r="I44" s="9" t="inlineStr"/>
      <c r="J44" s="9" t="inlineStr"/>
      <c r="K44" s="9" t="inlineStr"/>
      <c r="L44" s="9" t="inlineStr"/>
      <c r="M44" s="9" t="inlineStr"/>
      <c r="N44" s="9" t="inlineStr"/>
      <c r="O44" s="9" t="inlineStr"/>
      <c r="P44" s="9" t="inlineStr"/>
      <c r="Q44" s="7">
        <f>IF(OR(J44="",N44=""),"",IF(J44=N44,"sí","no"))</f>
        <v/>
      </c>
      <c r="R44" s="7">
        <f>IF(OR(K44="",O44=""),"",IF(K44=O44,"sí","no"))</f>
        <v/>
      </c>
      <c r="S44" s="9" t="inlineStr"/>
      <c r="T44" s="9" t="inlineStr"/>
      <c r="U44" s="9" t="inlineStr"/>
    </row>
    <row r="45" ht="105" customHeight="1">
      <c r="A45" s="7" t="inlineStr">
        <is>
          <t>CUR-044</t>
        </is>
      </c>
      <c r="B45" s="7" t="inlineStr">
        <is>
          <t>porteño</t>
        </is>
      </c>
      <c r="C45" s="7" t="inlineStr">
        <is>
          <t>Proveniente del puerto de Buenos Aires. Hace mucho tiempo atrás, la ciudad de Buenos aires era la única en tener puerto para sida de barco en el país , entonces quienes vivían allí eran "porteños ".  Este término se sigue utilizando hasta hoy en día.</t>
        </is>
      </c>
      <c r="D45" s="8" t="inlineStr">
        <is>
          <t>diccionarioargentino.com</t>
        </is>
      </c>
      <c r="E45" s="7" t="inlineStr">
        <is>
          <t>Que tengo para vos / Loco, loco, loco, cuando anochezca en tu porteña soledad / Por la ribera de tu sabana vendré con un poema y un</t>
        </is>
      </c>
      <c r="F45" s="7" t="inlineStr">
        <is>
          <t>Balada Para un Loco · Roberto Goyeneche (1969)</t>
        </is>
      </c>
      <c r="G45" s="7" t="inlineStr">
        <is>
          <t>Llevo un sello de nobleza / Soy porteña de una pieza / Tengo voz de bandoneón</t>
        </is>
      </c>
      <c r="H45" s="7" t="inlineStr">
        <is>
          <t>Arrabalera · Tita Merello (1955)</t>
        </is>
      </c>
      <c r="I45" s="9" t="inlineStr"/>
      <c r="J45" s="9" t="inlineStr"/>
      <c r="K45" s="9" t="inlineStr"/>
      <c r="L45" s="9" t="inlineStr"/>
      <c r="M45" s="9" t="inlineStr"/>
      <c r="N45" s="9" t="inlineStr"/>
      <c r="O45" s="9" t="inlineStr"/>
      <c r="P45" s="9" t="inlineStr"/>
      <c r="Q45" s="7">
        <f>IF(OR(J45="",N45=""),"",IF(J45=N45,"sí","no"))</f>
        <v/>
      </c>
      <c r="R45" s="7">
        <f>IF(OR(K45="",O45=""),"",IF(K45=O45,"sí","no"))</f>
        <v/>
      </c>
      <c r="S45" s="9" t="inlineStr"/>
      <c r="T45" s="9" t="inlineStr"/>
      <c r="U45" s="9" t="inlineStr"/>
    </row>
    <row r="46" ht="60" customHeight="1">
      <c r="A46" s="7" t="inlineStr">
        <is>
          <t>CUR-045</t>
        </is>
      </c>
      <c r="B46" s="7" t="inlineStr">
        <is>
          <t>pinta</t>
        </is>
      </c>
      <c r="C46" s="7" t="inlineStr">
        <is>
          <t>''pinta'' o se usa cuando le preguntás a alguien qué tiene ganas de hacer algo, o cuando le preguntás si está de acuerdo en hacer lo que vos querés.</t>
        </is>
      </c>
      <c r="D46" s="8" t="inlineStr">
        <is>
          <t>diccionarioargentino.com</t>
        </is>
      </c>
      <c r="E46" s="7" t="inlineStr">
        <is>
          <t>Y me pongo loco, re loco, re loco / Si pinta un mellizo ella le da hasta el piso / Se va de caravana y nunca le</t>
        </is>
      </c>
      <c r="F46" s="7" t="inlineStr">
        <is>
          <t>Piloto · EL NOBA (2022)</t>
        </is>
      </c>
      <c r="G46" s="7" t="inlineStr">
        <is>
          <t>bien ahí al ritmo. ¿Cómo e'? 'tamo acá con el Maxi, si pinta, despué' a la noche o más tarde nos cruzamo' ahí pa' pega'</t>
        </is>
      </c>
      <c r="H46" s="7" t="inlineStr">
        <is>
          <t>Freestyle Session #14 “LOS INTOCABLES” · Zaramay (2021)</t>
        </is>
      </c>
      <c r="I46" s="9" t="inlineStr"/>
      <c r="J46" s="9" t="inlineStr"/>
      <c r="K46" s="9" t="inlineStr"/>
      <c r="L46" s="9" t="inlineStr"/>
      <c r="M46" s="9" t="inlineStr"/>
      <c r="N46" s="9" t="inlineStr"/>
      <c r="O46" s="9" t="inlineStr"/>
      <c r="P46" s="9" t="inlineStr"/>
      <c r="Q46" s="7">
        <f>IF(OR(J46="",N46=""),"",IF(J46=N46,"sí","no"))</f>
        <v/>
      </c>
      <c r="R46" s="7">
        <f>IF(OR(K46="",O46=""),"",IF(K46=O46,"sí","no"))</f>
        <v/>
      </c>
      <c r="S46" s="9" t="inlineStr"/>
      <c r="T46" s="9" t="inlineStr"/>
      <c r="U46" s="9" t="inlineStr"/>
    </row>
    <row r="47" ht="45" customHeight="1">
      <c r="A47" s="7" t="inlineStr">
        <is>
          <t>CUR-046</t>
        </is>
      </c>
      <c r="B47" s="7" t="inlineStr">
        <is>
          <t>junar</t>
        </is>
      </c>
      <c r="C47" s="7" t="inlineStr">
        <is>
          <t>Sinónimo de conocer, reconocer, ser conocido.</t>
        </is>
      </c>
      <c r="D47" s="8" t="inlineStr">
        <is>
          <t>diccionarioargentino.com</t>
        </is>
      </c>
      <c r="E47" s="7" t="inlineStr">
        <is>
          <t>re del after / Y el telo paga la vuelta, y no te juno en la del Master / Me escuchan los pibito' que andan en chapa</t>
        </is>
      </c>
      <c r="F47" s="7" t="inlineStr">
        <is>
          <t>Del Año · EL NOBA (2021)</t>
        </is>
      </c>
      <c r="G47" s="7" t="inlineStr">
        <is>
          <t>También daba clases de hombría de bien; / Junaba de noches y de madrugadas / Piloteaba aviones y más de un beguén</t>
        </is>
      </c>
      <c r="H47" s="7" t="inlineStr">
        <is>
          <t>A lo Megata · Edmundo Rivero (1982)</t>
        </is>
      </c>
      <c r="I47" s="9" t="inlineStr"/>
      <c r="J47" s="9" t="inlineStr"/>
      <c r="K47" s="9" t="inlineStr"/>
      <c r="L47" s="9" t="inlineStr"/>
      <c r="M47" s="9" t="inlineStr"/>
      <c r="N47" s="9" t="inlineStr"/>
      <c r="O47" s="9" t="inlineStr"/>
      <c r="P47" s="9" t="inlineStr"/>
      <c r="Q47" s="7">
        <f>IF(OR(J47="",N47=""),"",IF(J47=N47,"sí","no"))</f>
        <v/>
      </c>
      <c r="R47" s="7">
        <f>IF(OR(K47="",O47=""),"",IF(K47=O47,"sí","no"))</f>
        <v/>
      </c>
      <c r="S47" s="9" t="inlineStr"/>
      <c r="T47" s="9" t="inlineStr"/>
      <c r="U47" s="9" t="inlineStr"/>
    </row>
    <row r="48" ht="45" customHeight="1">
      <c r="A48" s="7" t="inlineStr">
        <is>
          <t>CUR-047</t>
        </is>
      </c>
      <c r="B48" s="7" t="inlineStr">
        <is>
          <t>logi</t>
        </is>
      </c>
      <c r="C48" s="7" t="inlineStr">
        <is>
          <t>Persona tonta, estúpida, aburrida. Sinónimo de Gil.</t>
        </is>
      </c>
      <c r="D48" s="8" t="inlineStr">
        <is>
          <t>diccionarioargentino.com</t>
        </is>
      </c>
      <c r="E48" s="7" t="inlineStr">
        <is>
          <t>Todo' lo' podere' corte Kakaroto / Logi, no te peine', no salí' en la foto / Ayer vino tu guacha, era mi copiloto</t>
        </is>
      </c>
      <c r="F48" s="7" t="inlineStr">
        <is>
          <t>KAKAROTO · El Noba</t>
        </is>
      </c>
      <c r="G48" s="7" t="inlineStr"/>
      <c r="H48" s="7" t="inlineStr"/>
      <c r="I48" s="9" t="inlineStr"/>
      <c r="J48" s="9" t="inlineStr"/>
      <c r="K48" s="9" t="inlineStr"/>
      <c r="L48" s="9" t="inlineStr"/>
      <c r="M48" s="9" t="inlineStr"/>
      <c r="N48" s="9" t="inlineStr"/>
      <c r="O48" s="9" t="inlineStr"/>
      <c r="P48" s="9" t="inlineStr"/>
      <c r="Q48" s="7">
        <f>IF(OR(J48="",N48=""),"",IF(J48=N48,"sí","no"))</f>
        <v/>
      </c>
      <c r="R48" s="7">
        <f>IF(OR(K48="",O48=""),"",IF(K48=O48,"sí","no"))</f>
        <v/>
      </c>
      <c r="S48" s="9" t="inlineStr"/>
      <c r="T48" s="9" t="inlineStr"/>
      <c r="U48" s="9" t="inlineStr"/>
    </row>
    <row r="49" ht="45" customHeight="1">
      <c r="A49" s="7" t="inlineStr">
        <is>
          <t>CUR-048</t>
        </is>
      </c>
      <c r="B49" s="7" t="inlineStr">
        <is>
          <t>boliche</t>
        </is>
      </c>
      <c r="C49" s="7" t="inlineStr">
        <is>
          <t>Es el lugar donde se suele ir a bailar; en otros países se conoce como discoteca.</t>
        </is>
      </c>
      <c r="D49" s="8" t="inlineStr">
        <is>
          <t>diccionarioargentino.com</t>
        </is>
      </c>
      <c r="E49" s="7" t="inlineStr">
        <is>
          <t>gusta cuando tú te me sigue' (Sí) / Te ponen música en el boliche y te la vive' (Uh-uh) / Cumbia con reggaetón, un perreo 'e salón</t>
        </is>
      </c>
      <c r="F49" s="7" t="inlineStr">
        <is>
          <t>Tamo Chelo (Remix) · EL NOBA (2022)</t>
        </is>
      </c>
      <c r="G49" s="7" t="inlineStr">
        <is>
          <t>No puedo sacarla de mi mente en toda la semana / Hace cuatro meses que yo vengo a este boliche / Para verte bailar entre la gente</t>
        </is>
      </c>
      <c r="H49" s="7" t="inlineStr">
        <is>
          <t>Daniela · Kumbia Queers (2010)</t>
        </is>
      </c>
      <c r="I49" s="9" t="inlineStr"/>
      <c r="J49" s="9" t="inlineStr"/>
      <c r="K49" s="9" t="inlineStr"/>
      <c r="L49" s="9" t="inlineStr"/>
      <c r="M49" s="9" t="inlineStr"/>
      <c r="N49" s="9" t="inlineStr"/>
      <c r="O49" s="9" t="inlineStr"/>
      <c r="P49" s="9" t="inlineStr"/>
      <c r="Q49" s="7">
        <f>IF(OR(J49="",N49=""),"",IF(J49=N49,"sí","no"))</f>
        <v/>
      </c>
      <c r="R49" s="7">
        <f>IF(OR(K49="",O49=""),"",IF(K49=O49,"sí","no"))</f>
        <v/>
      </c>
      <c r="S49" s="9" t="inlineStr"/>
      <c r="T49" s="9" t="inlineStr"/>
      <c r="U49" s="9" t="inlineStr"/>
    </row>
    <row r="50" ht="60" customHeight="1">
      <c r="A50" s="7" t="inlineStr">
        <is>
          <t>CUR-049</t>
        </is>
      </c>
      <c r="B50" s="7" t="inlineStr">
        <is>
          <t>rajar</t>
        </is>
      </c>
      <c r="C50" s="7" t="inlineStr">
        <is>
          <t>utilizado en situaciones en las cuales debes irte muy rapido, inmediatamente porque tenes alguna obligacion, porque te mandaste alguna cagada, etc.</t>
        </is>
      </c>
      <c r="D50" s="8" t="inlineStr">
        <is>
          <t>diccionarioargentino.com</t>
        </is>
      </c>
      <c r="E50" s="7" t="inlineStr">
        <is>
          <t>Y apoliyar es dormirse / Rajar o piantarse es irse / Y esto lo manya cualquiera</t>
        </is>
      </c>
      <c r="F50" s="7" t="inlineStr">
        <is>
          <t>Milonga Lunfarda · Edmundo Rivero (1972)</t>
        </is>
      </c>
      <c r="G50" s="7" t="inlineStr">
        <is>
          <t>Si los cacha, los da vuelta / No les da tiempo a rajar / ¡Lo que más bronca me da</t>
        </is>
      </c>
      <c r="H50" s="7" t="inlineStr">
        <is>
          <t>Chorra · Edmundo Rivero (1959)</t>
        </is>
      </c>
      <c r="I50" s="9" t="inlineStr"/>
      <c r="J50" s="9" t="inlineStr"/>
      <c r="K50" s="9" t="inlineStr"/>
      <c r="L50" s="9" t="inlineStr"/>
      <c r="M50" s="9" t="inlineStr"/>
      <c r="N50" s="9" t="inlineStr"/>
      <c r="O50" s="9" t="inlineStr"/>
      <c r="P50" s="9" t="inlineStr"/>
      <c r="Q50" s="7">
        <f>IF(OR(J50="",N50=""),"",IF(J50=N50,"sí","no"))</f>
        <v/>
      </c>
      <c r="R50" s="7">
        <f>IF(OR(K50="",O50=""),"",IF(K50=O50,"sí","no"))</f>
        <v/>
      </c>
      <c r="S50" s="9" t="inlineStr"/>
      <c r="T50" s="9" t="inlineStr"/>
      <c r="U50" s="9" t="inlineStr"/>
    </row>
    <row r="51" ht="60" customHeight="1">
      <c r="A51" s="7" t="inlineStr">
        <is>
          <t>CUR-050</t>
        </is>
      </c>
      <c r="B51" s="7" t="inlineStr">
        <is>
          <t>cien</t>
        </is>
      </c>
      <c r="C51" s="7" t="inlineStr">
        <is>
          <t>Signo o signos usados para representar al número que tiene cien unidades.</t>
        </is>
      </c>
      <c r="D51" s="7" t="inlineStr">
        <is>
          <t>Wikcionario</t>
        </is>
      </c>
      <c r="E51" s="7" t="inlineStr">
        <is>
          <t>Quiero despertar y estar contigo de viaje / Y que los billetes de cien dolares caigan del traje / La nena quiere una Ferrari de carruaje (Ey)</t>
        </is>
      </c>
      <c r="F51" s="7" t="inlineStr">
        <is>
          <t>Nena · Zaramay (2018)</t>
        </is>
      </c>
      <c r="G51" s="7" t="inlineStr">
        <is>
          <t>Sé frontear, pero no exagero / Llegué a cien, vine desde cero / Dólare' desde el extranjero</t>
        </is>
      </c>
      <c r="H51" s="7" t="inlineStr">
        <is>
          <t>GIVENCHY · Duki (2022)</t>
        </is>
      </c>
      <c r="I51" s="9" t="inlineStr"/>
      <c r="J51" s="9" t="inlineStr"/>
      <c r="K51" s="9" t="inlineStr"/>
      <c r="L51" s="9" t="inlineStr"/>
      <c r="M51" s="9" t="inlineStr"/>
      <c r="N51" s="9" t="inlineStr"/>
      <c r="O51" s="9" t="inlineStr"/>
      <c r="P51" s="9" t="inlineStr"/>
      <c r="Q51" s="7">
        <f>IF(OR(J51="",N51=""),"",IF(J51=N51,"sí","no"))</f>
        <v/>
      </c>
      <c r="R51" s="7">
        <f>IF(OR(K51="",O51=""),"",IF(K51=O51,"sí","no"))</f>
        <v/>
      </c>
      <c r="S51" s="9" t="inlineStr"/>
      <c r="T51" s="9" t="inlineStr"/>
      <c r="U51" s="9" t="inlineStr"/>
    </row>
    <row r="52" ht="45" customHeight="1">
      <c r="A52" s="7" t="inlineStr">
        <is>
          <t>CUR-051</t>
        </is>
      </c>
      <c r="B52" s="7" t="inlineStr">
        <is>
          <t>boca</t>
        </is>
      </c>
      <c r="C52" s="7" t="inlineStr">
        <is>
          <t>Abertura anterior del tubo digestivo de los animales, por el cual se ingieren los alimentos.</t>
        </is>
      </c>
      <c r="D52" s="7" t="inlineStr">
        <is>
          <t>Wikcionario</t>
        </is>
      </c>
      <c r="E52" s="7" t="inlineStr">
        <is>
          <t>Pero si un mirar me hiere al pasar / Su boca de fuego, otra vez, quiero besar / Basta de carreras, se acabó la timba</t>
        </is>
      </c>
      <c r="F52" s="7" t="inlineStr">
        <is>
          <t>Por Una Cabeza · Carlos Gardel (1935)</t>
        </is>
      </c>
      <c r="G52" s="7" t="inlineStr">
        <is>
          <t>Leguisamo, mi nariz es puntiaguda / La figura no me ayuda y mi boca es un buzón / Si charlo con Luis, con Pedro o con Juan</t>
        </is>
      </c>
      <c r="H52" s="7" t="inlineStr">
        <is>
          <t>Se Dice de Mí · Tita Merello (1955)</t>
        </is>
      </c>
      <c r="I52" s="9" t="inlineStr"/>
      <c r="J52" s="9" t="inlineStr"/>
      <c r="K52" s="9" t="inlineStr"/>
      <c r="L52" s="9" t="inlineStr"/>
      <c r="M52" s="9" t="inlineStr"/>
      <c r="N52" s="9" t="inlineStr"/>
      <c r="O52" s="9" t="inlineStr"/>
      <c r="P52" s="9" t="inlineStr"/>
      <c r="Q52" s="7">
        <f>IF(OR(J52="",N52=""),"",IF(J52=N52,"sí","no"))</f>
        <v/>
      </c>
      <c r="R52" s="7">
        <f>IF(OR(K52="",O52=""),"",IF(K52=O52,"sí","no"))</f>
        <v/>
      </c>
      <c r="S52" s="9" t="inlineStr"/>
      <c r="T52" s="9" t="inlineStr"/>
      <c r="U52" s="9" t="inlineStr"/>
    </row>
    <row r="53" ht="30" customHeight="1">
      <c r="A53" s="7" t="inlineStr">
        <is>
          <t>CUR-052</t>
        </is>
      </c>
      <c r="B53" s="7" t="inlineStr">
        <is>
          <t>percanta</t>
        </is>
      </c>
      <c r="C53" s="7" t="inlineStr">
        <is>
          <t>Mujer o mina, puede que se use con connotacion negativa</t>
        </is>
      </c>
      <c r="D53" s="8" t="inlineStr">
        <is>
          <t>diccionarioargentino.com</t>
        </is>
      </c>
      <c r="E53" s="7" t="inlineStr">
        <is>
          <t>Letra de "Mi Noche Triste" / Percanta que me amuraste / En lo mejor de mi vida</t>
        </is>
      </c>
      <c r="F53" s="7" t="inlineStr">
        <is>
          <t>Mi noche triste · Carlos Gardel (1917)</t>
        </is>
      </c>
      <c r="G53" s="7" t="inlineStr">
        <is>
          <t>Mi noche triste alumbrar / Percanta que me amuraste / En lo mejor de mi vida</t>
        </is>
      </c>
      <c r="H53" s="7" t="inlineStr">
        <is>
          <t>Mi noche triste · Carlos Gardel (1917)</t>
        </is>
      </c>
      <c r="I53" s="9" t="inlineStr"/>
      <c r="J53" s="9" t="inlineStr"/>
      <c r="K53" s="9" t="inlineStr"/>
      <c r="L53" s="9" t="inlineStr"/>
      <c r="M53" s="9" t="inlineStr"/>
      <c r="N53" s="9" t="inlineStr"/>
      <c r="O53" s="9" t="inlineStr"/>
      <c r="P53" s="9" t="inlineStr"/>
      <c r="Q53" s="7">
        <f>IF(OR(J53="",N53=""),"",IF(J53=N53,"sí","no"))</f>
        <v/>
      </c>
      <c r="R53" s="7">
        <f>IF(OR(K53="",O53=""),"",IF(K53=O53,"sí","no"))</f>
        <v/>
      </c>
      <c r="S53" s="9" t="inlineStr"/>
      <c r="T53" s="9" t="inlineStr"/>
      <c r="U53" s="9" t="inlineStr"/>
    </row>
    <row r="54" ht="45" customHeight="1">
      <c r="A54" s="7" t="inlineStr">
        <is>
          <t>CUR-053</t>
        </is>
      </c>
      <c r="B54" s="7" t="inlineStr">
        <is>
          <t>paciencia</t>
        </is>
      </c>
      <c r="C54" s="7" t="inlineStr">
        <is>
          <t>Calma en la realización de alguna actividad.</t>
        </is>
      </c>
      <c r="D54" s="7" t="inlineStr">
        <is>
          <t>Wikcionario</t>
        </is>
      </c>
      <c r="E54" s="7" t="inlineStr">
        <is>
          <t>Se tragaron, vos, la “viuda” y el “guerrero” / Lo que me costó diez años de paciencia y de yugar / ¡Chorros!...</t>
        </is>
      </c>
      <c r="F54" s="7" t="inlineStr">
        <is>
          <t>Chorra · Edmundo Rivero (1959)</t>
        </is>
      </c>
      <c r="G54" s="7" t="inlineStr">
        <is>
          <t>Vieja no me va a querer; / En Europa y con paciencia / Me podrán embellecer"</t>
        </is>
      </c>
      <c r="H54" s="7" t="inlineStr">
        <is>
          <t>Manuelita La Tortuga · María Elena Walsh (1964)</t>
        </is>
      </c>
      <c r="I54" s="9" t="inlineStr"/>
      <c r="J54" s="9" t="inlineStr"/>
      <c r="K54" s="9" t="inlineStr"/>
      <c r="L54" s="9" t="inlineStr"/>
      <c r="M54" s="9" t="inlineStr"/>
      <c r="N54" s="9" t="inlineStr"/>
      <c r="O54" s="9" t="inlineStr"/>
      <c r="P54" s="9" t="inlineStr"/>
      <c r="Q54" s="7">
        <f>IF(OR(J54="",N54=""),"",IF(J54=N54,"sí","no"))</f>
        <v/>
      </c>
      <c r="R54" s="7">
        <f>IF(OR(K54="",O54=""),"",IF(K54=O54,"sí","no"))</f>
        <v/>
      </c>
      <c r="S54" s="9" t="inlineStr"/>
      <c r="T54" s="9" t="inlineStr"/>
      <c r="U54" s="9" t="inlineStr"/>
    </row>
    <row r="55" ht="60" customHeight="1">
      <c r="A55" s="7" t="inlineStr">
        <is>
          <t>CUR-054</t>
        </is>
      </c>
      <c r="B55" s="7" t="inlineStr">
        <is>
          <t>pelar</t>
        </is>
      </c>
      <c r="C55" s="7" t="inlineStr">
        <is>
          <t>Dejar pelado a alguien, gastar o quitar todo el dinero.</t>
        </is>
      </c>
      <c r="D55" s="7" t="inlineStr">
        <is>
          <t>Wikcionario</t>
        </is>
      </c>
      <c r="E55" s="7" t="inlineStr">
        <is>
          <t>Malandrín y estafador / Entre todos me pelaron con la cero / Tu silueta fue el anzuelo, donde yo me fui a ensartar</t>
        </is>
      </c>
      <c r="F55" s="7" t="inlineStr">
        <is>
          <t>Chorra · Edmundo Rivero (1959)</t>
        </is>
      </c>
      <c r="G55" s="7" t="inlineStr">
        <is>
          <t>porque su vida no es interesante (Ey) / Pa' tomar una Coca antes pelábamos el cobre / Y ahora por nuestra coca mandan el dinero en sobre</t>
        </is>
      </c>
      <c r="H55" s="7" t="inlineStr">
        <is>
          <t>Nena · Zaramay (2018)</t>
        </is>
      </c>
      <c r="I55" s="9" t="inlineStr"/>
      <c r="J55" s="9" t="inlineStr"/>
      <c r="K55" s="9" t="inlineStr"/>
      <c r="L55" s="9" t="inlineStr"/>
      <c r="M55" s="9" t="inlineStr"/>
      <c r="N55" s="9" t="inlineStr"/>
      <c r="O55" s="9" t="inlineStr"/>
      <c r="P55" s="9" t="inlineStr"/>
      <c r="Q55" s="7">
        <f>IF(OR(J55="",N55=""),"",IF(J55=N55,"sí","no"))</f>
        <v/>
      </c>
      <c r="R55" s="7">
        <f>IF(OR(K55="",O55=""),"",IF(K55=O55,"sí","no"))</f>
        <v/>
      </c>
      <c r="S55" s="9" t="inlineStr"/>
      <c r="T55" s="9" t="inlineStr"/>
      <c r="U55" s="9" t="inlineStr"/>
    </row>
    <row r="56" ht="75" customHeight="1">
      <c r="A56" s="7" t="inlineStr">
        <is>
          <t>CUR-055</t>
        </is>
      </c>
      <c r="B56" s="7" t="inlineStr">
        <is>
          <t>vacío</t>
        </is>
      </c>
      <c r="C56" s="7" t="inlineStr">
        <is>
          <t>Corte de carne tomado del vientre del vacuno, desde la parte posterior de la última costilla hasta la articulación del anca. Es una carne magra y tierna, empleada con frecuencia para el asado.</t>
        </is>
      </c>
      <c r="D56" s="7" t="inlineStr">
        <is>
          <t>Wikcionario</t>
        </is>
      </c>
      <c r="E56" s="7" t="inlineStr">
        <is>
          <t>Es para valientes que van por más! / El vacío que llevamos se agranda / Dentro de nuestro interior</t>
        </is>
      </c>
      <c r="F56" s="7" t="inlineStr">
        <is>
          <t>El Manual De Las Derrotas · Carajo (2019)</t>
        </is>
      </c>
      <c r="G56" s="7" t="inlineStr">
        <is>
          <t>en esta vida se me ha complicado (Oh-oh-oh) / Por eso me siento vacío y un poco frustrado (Oh-oh-oh) / Me siento mal, ya no sé ni</t>
        </is>
      </c>
      <c r="H56" s="7" t="inlineStr">
        <is>
          <t>U.S.A · LiL CaKe (2020)</t>
        </is>
      </c>
      <c r="I56" s="9" t="inlineStr"/>
      <c r="J56" s="9" t="inlineStr"/>
      <c r="K56" s="9" t="inlineStr"/>
      <c r="L56" s="9" t="inlineStr"/>
      <c r="M56" s="9" t="inlineStr"/>
      <c r="N56" s="9" t="inlineStr"/>
      <c r="O56" s="9" t="inlineStr"/>
      <c r="P56" s="9" t="inlineStr"/>
      <c r="Q56" s="7">
        <f>IF(OR(J56="",N56=""),"",IF(J56=N56,"sí","no"))</f>
        <v/>
      </c>
      <c r="R56" s="7">
        <f>IF(OR(K56="",O56=""),"",IF(K56=O56,"sí","no"))</f>
        <v/>
      </c>
      <c r="S56" s="9" t="inlineStr"/>
      <c r="T56" s="9" t="inlineStr"/>
      <c r="U56" s="9" t="inlineStr"/>
    </row>
    <row r="57" ht="45" customHeight="1">
      <c r="A57" s="7" t="inlineStr">
        <is>
          <t>CUR-056</t>
        </is>
      </c>
      <c r="B57" s="7" t="inlineStr">
        <is>
          <t>mina</t>
        </is>
      </c>
      <c r="C57" s="7" t="inlineStr">
        <is>
          <t>Mujer, chica.</t>
        </is>
      </c>
      <c r="D57" s="8" t="inlineStr">
        <is>
          <t>diccionarioargentino.com</t>
        </is>
      </c>
      <c r="E57" s="7" t="inlineStr">
        <is>
          <t>en un 'pernó' mezclo a Paris con Puente Alsina / Fuiste compadre del botón y de la mina / Y hasta comadre del gavión y la pebeta</t>
        </is>
      </c>
      <c r="F57" s="7" t="inlineStr">
        <is>
          <t>El Choclo · Tita Merello (1954)</t>
        </is>
      </c>
      <c r="G57" s="7" t="inlineStr">
        <is>
          <t>El dolor de unas cadenas que me queman las muñecas / Y una mina que arrodilla mis arrestos de varón / Yo quiero morir conmigo</t>
        </is>
      </c>
      <c r="H57" s="7" t="inlineStr">
        <is>
          <t>Como Abrazo a un Rencor · Edmundo Rivero (1967)</t>
        </is>
      </c>
      <c r="I57" s="9" t="inlineStr"/>
      <c r="J57" s="9" t="inlineStr"/>
      <c r="K57" s="9" t="inlineStr"/>
      <c r="L57" s="9" t="inlineStr"/>
      <c r="M57" s="9" t="inlineStr"/>
      <c r="N57" s="9" t="inlineStr"/>
      <c r="O57" s="9" t="inlineStr"/>
      <c r="P57" s="9" t="inlineStr"/>
      <c r="Q57" s="7">
        <f>IF(OR(J57="",N57=""),"",IF(J57=N57,"sí","no"))</f>
        <v/>
      </c>
      <c r="R57" s="7">
        <f>IF(OR(K57="",O57=""),"",IF(K57=O57,"sí","no"))</f>
        <v/>
      </c>
      <c r="S57" s="9" t="inlineStr"/>
      <c r="T57" s="9" t="inlineStr"/>
      <c r="U57" s="9" t="inlineStr"/>
    </row>
    <row r="58" ht="45" customHeight="1">
      <c r="A58" s="7" t="inlineStr">
        <is>
          <t>CUR-057</t>
        </is>
      </c>
      <c r="B58" s="7" t="inlineStr">
        <is>
          <t>curtir</t>
        </is>
      </c>
      <c r="C58" s="7" t="inlineStr">
        <is>
          <t>Gustar de algo o alguien, tener preferencia por determinada cosa, comportamiento o hábito.</t>
        </is>
      </c>
      <c r="D58" s="8" t="inlineStr">
        <is>
          <t>diccionarioargentino.com</t>
        </is>
      </c>
      <c r="E58" s="7" t="inlineStr">
        <is>
          <t>cheta con money y cocaine / Me invitan un tiro y yo que las deliro, me voy a curtir a las diez / Tengan veinte o dieciséis</t>
        </is>
      </c>
      <c r="F58" s="7" t="inlineStr">
        <is>
          <t>Guapo · YSY A (2018)</t>
        </is>
      </c>
      <c r="G58" s="7" t="inlineStr">
        <is>
          <t>contando lo que yo viví (-ví) / Fuck tu film, los pi' no curtimos esa ni ahí / Pueden rimar, pa', pero no ser na' más pa'</t>
        </is>
      </c>
      <c r="H58" s="7" t="inlineStr">
        <is>
          <t>Crow · Acru (2018)</t>
        </is>
      </c>
      <c r="I58" s="9" t="inlineStr"/>
      <c r="J58" s="9" t="inlineStr"/>
      <c r="K58" s="9" t="inlineStr"/>
      <c r="L58" s="9" t="inlineStr"/>
      <c r="M58" s="9" t="inlineStr"/>
      <c r="N58" s="9" t="inlineStr"/>
      <c r="O58" s="9" t="inlineStr"/>
      <c r="P58" s="9" t="inlineStr"/>
      <c r="Q58" s="7">
        <f>IF(OR(J58="",N58=""),"",IF(J58=N58,"sí","no"))</f>
        <v/>
      </c>
      <c r="R58" s="7">
        <f>IF(OR(K58="",O58=""),"",IF(K58=O58,"sí","no"))</f>
        <v/>
      </c>
      <c r="S58" s="9" t="inlineStr"/>
      <c r="T58" s="9" t="inlineStr"/>
      <c r="U58" s="9" t="inlineStr"/>
    </row>
    <row r="59" ht="60" customHeight="1">
      <c r="A59" s="7" t="inlineStr">
        <is>
          <t>CUR-058</t>
        </is>
      </c>
      <c r="B59" s="7" t="inlineStr">
        <is>
          <t>fumar</t>
        </is>
      </c>
      <c r="C59" s="7" t="inlineStr">
        <is>
          <t>Coloq. Véase soportar, aguantar</t>
        </is>
      </c>
      <c r="D59" s="8" t="inlineStr">
        <is>
          <t>diccionarioargentino.com</t>
        </is>
      </c>
      <c r="E59" s="7" t="inlineStr">
        <is>
          <t>gente habla de más, solo es porque responde el vivo / ¿De que fumo mucho porro?, ¿que me gusta el efectivo? / Todo bien, pero ustedes siguen</t>
        </is>
      </c>
      <c r="F59" s="7" t="inlineStr">
        <is>
          <t>Freestyle Session #5 · Zaramay (2019)</t>
        </is>
      </c>
      <c r="G59" s="7" t="inlineStr">
        <is>
          <t>Yo te quiero corazon y no te tengo rencor / Fumo del malo y del bueno / Veo pasar el tiempo soñando lo que quiero</t>
        </is>
      </c>
      <c r="H59" s="7" t="inlineStr">
        <is>
          <t>Plantala · Kumbia Queers (2015)</t>
        </is>
      </c>
      <c r="I59" s="9" t="inlineStr"/>
      <c r="J59" s="9" t="inlineStr"/>
      <c r="K59" s="9" t="inlineStr"/>
      <c r="L59" s="9" t="inlineStr"/>
      <c r="M59" s="9" t="inlineStr"/>
      <c r="N59" s="9" t="inlineStr"/>
      <c r="O59" s="9" t="inlineStr"/>
      <c r="P59" s="9" t="inlineStr"/>
      <c r="Q59" s="7">
        <f>IF(OR(J59="",N59=""),"",IF(J59=N59,"sí","no"))</f>
        <v/>
      </c>
      <c r="R59" s="7">
        <f>IF(OR(K59="",O59=""),"",IF(K59=O59,"sí","no"))</f>
        <v/>
      </c>
      <c r="S59" s="9" t="inlineStr"/>
      <c r="T59" s="9" t="inlineStr"/>
      <c r="U59" s="9" t="inlineStr"/>
    </row>
    <row r="60" ht="45" customHeight="1">
      <c r="A60" s="7" t="inlineStr">
        <is>
          <t>CUR-059</t>
        </is>
      </c>
      <c r="B60" s="7" t="inlineStr">
        <is>
          <t>careta</t>
        </is>
      </c>
      <c r="C60" s="7" t="inlineStr">
        <is>
          <t>Persona hipócrita, falsa, doble cara.</t>
        </is>
      </c>
      <c r="D60" s="8" t="inlineStr">
        <is>
          <t>diccionarioargentino.com</t>
        </is>
      </c>
      <c r="E60" s="7" t="inlineStr">
        <is>
          <t>Acá la que más cobra suele ser la mas barata / Y siempre hay un careta que transa con una rata / ¡Basta, pará! No quiero hacerlo</t>
        </is>
      </c>
      <c r="F60" s="7" t="inlineStr">
        <is>
          <t>Esa mierda · Sara Hebe (2012)</t>
        </is>
      </c>
      <c r="G60" s="7" t="inlineStr">
        <is>
          <t>Porque al primero que se haga el ortiba / Por pancho y careta le vamos a dar / ''Mamá Chorra, tenes razón''</t>
        </is>
      </c>
      <c r="H60" s="7" t="inlineStr">
        <is>
          <t>Llegamos los Pibes Chorros · Los Pibes Chorros (2002)</t>
        </is>
      </c>
      <c r="I60" s="9" t="inlineStr"/>
      <c r="J60" s="9" t="inlineStr"/>
      <c r="K60" s="9" t="inlineStr"/>
      <c r="L60" s="9" t="inlineStr"/>
      <c r="M60" s="9" t="inlineStr"/>
      <c r="N60" s="9" t="inlineStr"/>
      <c r="O60" s="9" t="inlineStr"/>
      <c r="P60" s="9" t="inlineStr"/>
      <c r="Q60" s="7">
        <f>IF(OR(J60="",N60=""),"",IF(J60=N60,"sí","no"))</f>
        <v/>
      </c>
      <c r="R60" s="7">
        <f>IF(OR(K60="",O60=""),"",IF(K60=O60,"sí","no"))</f>
        <v/>
      </c>
      <c r="S60" s="9" t="inlineStr"/>
      <c r="T60" s="9" t="inlineStr"/>
      <c r="U60" s="9" t="inlineStr"/>
    </row>
    <row r="61" ht="45" customHeight="1">
      <c r="A61" s="7" t="inlineStr">
        <is>
          <t>CUR-060</t>
        </is>
      </c>
      <c r="B61" s="7" t="inlineStr">
        <is>
          <t>cero</t>
        </is>
      </c>
      <c r="C61" s="7" t="inlineStr">
        <is>
          <t>Nombre del número 0.</t>
        </is>
      </c>
      <c r="D61" s="7" t="inlineStr">
        <is>
          <t>Wikcionario</t>
        </is>
      </c>
      <c r="E61" s="7" t="inlineStr">
        <is>
          <t>Malandrín y estafador / Entre todos me pelaron con la cero / Tu silueta fue el anzuelo, donde yo me fui a ensartar</t>
        </is>
      </c>
      <c r="F61" s="7" t="inlineStr">
        <is>
          <t>Chorra · Edmundo Rivero (1959)</t>
        </is>
      </c>
      <c r="G61" s="7" t="inlineStr">
        <is>
          <t>Sé frontear, pero no exagero / Llegué a cien, vine desde cero / Dólare' desde el extranjero</t>
        </is>
      </c>
      <c r="H61" s="7" t="inlineStr">
        <is>
          <t>GIVENCHY · Duki (2022)</t>
        </is>
      </c>
      <c r="I61" s="9" t="inlineStr"/>
      <c r="J61" s="9" t="inlineStr"/>
      <c r="K61" s="9" t="inlineStr"/>
      <c r="L61" s="9" t="inlineStr"/>
      <c r="M61" s="9" t="inlineStr"/>
      <c r="N61" s="9" t="inlineStr"/>
      <c r="O61" s="9" t="inlineStr"/>
      <c r="P61" s="9" t="inlineStr"/>
      <c r="Q61" s="7">
        <f>IF(OR(J61="",N61=""),"",IF(J61=N61,"sí","no"))</f>
        <v/>
      </c>
      <c r="R61" s="7">
        <f>IF(OR(K61="",O61=""),"",IF(K61=O61,"sí","no"))</f>
        <v/>
      </c>
      <c r="S61" s="9" t="inlineStr"/>
      <c r="T61" s="9" t="inlineStr"/>
      <c r="U61" s="9" t="inlineStr"/>
    </row>
    <row r="62" ht="45" customHeight="1">
      <c r="A62" s="7" t="inlineStr">
        <is>
          <t>CUR-061</t>
        </is>
      </c>
      <c r="B62" s="7" t="inlineStr">
        <is>
          <t>labio</t>
        </is>
      </c>
      <c r="C62" s="7" t="inlineStr">
        <is>
          <t>Parte del cuerpo que se parece a un labio₁, como el borde de una herida o las partes de los órganos genitales.</t>
        </is>
      </c>
      <c r="D62" s="7" t="inlineStr">
        <is>
          <t>Wikcionario</t>
        </is>
      </c>
      <c r="E62" s="7" t="inlineStr">
        <is>
          <t>Que la tierra pidió / Labios, sed, cautividad / Mar, vendimia, gravedad</t>
        </is>
      </c>
      <c r="F62" s="7" t="inlineStr">
        <is>
          <t>Alas de la Mañana · Lito Epumer (2004)</t>
        </is>
      </c>
      <c r="G62" s="7" t="inlineStr">
        <is>
          <t>tu lengua es de serpiente / Tu piel es la más suave y tus labios son crujientes / Si fueras una escort, yo sería tu mejor cliente</t>
        </is>
      </c>
      <c r="H62" s="7" t="inlineStr">
        <is>
          <t>Muñecas · Dillom (2024)</t>
        </is>
      </c>
      <c r="I62" s="9" t="inlineStr"/>
      <c r="J62" s="9" t="inlineStr"/>
      <c r="K62" s="9" t="inlineStr"/>
      <c r="L62" s="9" t="inlineStr"/>
      <c r="M62" s="9" t="inlineStr"/>
      <c r="N62" s="9" t="inlineStr"/>
      <c r="O62" s="9" t="inlineStr"/>
      <c r="P62" s="9" t="inlineStr"/>
      <c r="Q62" s="7">
        <f>IF(OR(J62="",N62=""),"",IF(J62=N62,"sí","no"))</f>
        <v/>
      </c>
      <c r="R62" s="7">
        <f>IF(OR(K62="",O62=""),"",IF(K62=O62,"sí","no"))</f>
        <v/>
      </c>
      <c r="S62" s="9" t="inlineStr"/>
      <c r="T62" s="9" t="inlineStr"/>
      <c r="U62" s="9" t="inlineStr"/>
    </row>
    <row r="63" ht="45" customHeight="1">
      <c r="A63" s="7" t="inlineStr">
        <is>
          <t>CUR-062</t>
        </is>
      </c>
      <c r="B63" s="7" t="inlineStr">
        <is>
          <t>remera</t>
        </is>
      </c>
      <c r="C63" s="7" t="inlineStr">
        <is>
          <t>Prenda de vestir que cubre el torso, de mangas cortas; camiseta.</t>
        </is>
      </c>
      <c r="D63" s="8" t="inlineStr">
        <is>
          <t>diccionarioargentino.com</t>
        </is>
      </c>
      <c r="E63" s="7" t="inlineStr">
        <is>
          <t>Usa siempre el mismo pantalón / Y una remera de los Rolling Stones, la colorada / Está buena por delante y por detrás</t>
        </is>
      </c>
      <c r="F63" s="7" t="inlineStr">
        <is>
          <t>La colorada · Los Pibes Chorros (2003)</t>
        </is>
      </c>
      <c r="G63" s="7" t="inlineStr">
        <is>
          <t>De una ola que no para de crecer / Hoy su cara está en todas las remeras / Es un muerto que no para de nacer</t>
        </is>
      </c>
      <c r="H63" s="7" t="inlineStr">
        <is>
          <t>Murguita del sur · Bersuit Vergarabat (1998)</t>
        </is>
      </c>
      <c r="I63" s="9" t="inlineStr"/>
      <c r="J63" s="9" t="inlineStr"/>
      <c r="K63" s="9" t="inlineStr"/>
      <c r="L63" s="9" t="inlineStr"/>
      <c r="M63" s="9" t="inlineStr"/>
      <c r="N63" s="9" t="inlineStr"/>
      <c r="O63" s="9" t="inlineStr"/>
      <c r="P63" s="9" t="inlineStr"/>
      <c r="Q63" s="7">
        <f>IF(OR(J63="",N63=""),"",IF(J63=N63,"sí","no"))</f>
        <v/>
      </c>
      <c r="R63" s="7">
        <f>IF(OR(K63="",O63=""),"",IF(K63=O63,"sí","no"))</f>
        <v/>
      </c>
      <c r="S63" s="9" t="inlineStr"/>
      <c r="T63" s="9" t="inlineStr"/>
      <c r="U63" s="9" t="inlineStr"/>
    </row>
    <row r="64" ht="45" customHeight="1">
      <c r="A64" s="7" t="inlineStr">
        <is>
          <t>CUR-063</t>
        </is>
      </c>
      <c r="B64" s="7" t="inlineStr">
        <is>
          <t>trap</t>
        </is>
      </c>
      <c r="C64" s="7" t="inlineStr">
        <is>
          <t>Subgénero del Rap.</t>
        </is>
      </c>
      <c r="D64" s="8" t="inlineStr">
        <is>
          <t>diccionarioargentino.com</t>
        </is>
      </c>
      <c r="E64" s="7" t="inlineStr">
        <is>
          <t>Porque sé que mañana con Agustín cenas / Lo mismo dije con el trap, me comeré la escena (Ey) / No le temo a la muerte, tengo</t>
        </is>
      </c>
      <c r="F64" s="7" t="inlineStr">
        <is>
          <t>Nena · Zaramay (2018)</t>
        </is>
      </c>
      <c r="G64" s="7" t="inlineStr">
        <is>
          <t>ahora hay tantas mujere' que por la noche me llaman / Esto del trap me incomoda porque toda' me la maman / Yo arriba y tú de</t>
        </is>
      </c>
      <c r="H64" s="7" t="inlineStr">
        <is>
          <t>Oye Baby · Zaramay (2020)</t>
        </is>
      </c>
      <c r="I64" s="9" t="inlineStr"/>
      <c r="J64" s="9" t="inlineStr"/>
      <c r="K64" s="9" t="inlineStr"/>
      <c r="L64" s="9" t="inlineStr"/>
      <c r="M64" s="9" t="inlineStr"/>
      <c r="N64" s="9" t="inlineStr"/>
      <c r="O64" s="9" t="inlineStr"/>
      <c r="P64" s="9" t="inlineStr"/>
      <c r="Q64" s="7">
        <f>IF(OR(J64="",N64=""),"",IF(J64=N64,"sí","no"))</f>
        <v/>
      </c>
      <c r="R64" s="7">
        <f>IF(OR(K64="",O64=""),"",IF(K64=O64,"sí","no"))</f>
        <v/>
      </c>
      <c r="S64" s="9" t="inlineStr"/>
      <c r="T64" s="9" t="inlineStr"/>
      <c r="U64" s="9" t="inlineStr"/>
    </row>
    <row r="65" ht="45" customHeight="1">
      <c r="A65" s="7" t="inlineStr">
        <is>
          <t>CUR-064</t>
        </is>
      </c>
      <c r="B65" s="7" t="inlineStr">
        <is>
          <t>chorro</t>
        </is>
      </c>
      <c r="C65" s="7" t="inlineStr">
        <is>
          <t>Persona que ha robado, ladron, delincuente</t>
        </is>
      </c>
      <c r="D65" s="8" t="inlineStr">
        <is>
          <t>diccionarioargentino.com</t>
        </is>
      </c>
      <c r="E65" s="7" t="inlineStr">
        <is>
          <t>Lo que me costó diez años de paciencia y de yugar / ¡Chorros!... / Vos, tu vieja y tu papá</t>
        </is>
      </c>
      <c r="F65" s="7" t="inlineStr">
        <is>
          <t>Chorra · Edmundo Rivero (1959)</t>
        </is>
      </c>
      <c r="G65" s="7" t="inlineStr">
        <is>
          <t>El que roba es el que afana / El chorro, un vulgar ladrón / Al zonzo, llaman chabón</t>
        </is>
      </c>
      <c r="H65" s="7" t="inlineStr">
        <is>
          <t>Milonga Lunfarda · Edmundo Rivero (1972)</t>
        </is>
      </c>
      <c r="I65" s="9" t="inlineStr"/>
      <c r="J65" s="9" t="inlineStr"/>
      <c r="K65" s="9" t="inlineStr"/>
      <c r="L65" s="9" t="inlineStr"/>
      <c r="M65" s="9" t="inlineStr"/>
      <c r="N65" s="9" t="inlineStr"/>
      <c r="O65" s="9" t="inlineStr"/>
      <c r="P65" s="9" t="inlineStr"/>
      <c r="Q65" s="7">
        <f>IF(OR(J65="",N65=""),"",IF(J65=N65,"sí","no"))</f>
        <v/>
      </c>
      <c r="R65" s="7">
        <f>IF(OR(K65="",O65=""),"",IF(K65=O65,"sí","no"))</f>
        <v/>
      </c>
      <c r="S65" s="9" t="inlineStr"/>
      <c r="T65" s="9" t="inlineStr"/>
      <c r="U65" s="9" t="inlineStr"/>
    </row>
    <row r="66" ht="60" customHeight="1">
      <c r="A66" s="7" t="inlineStr">
        <is>
          <t>CUR-065</t>
        </is>
      </c>
      <c r="B66" s="7" t="inlineStr">
        <is>
          <t>reír</t>
        </is>
      </c>
      <c r="C66" s="7" t="inlineStr">
        <is>
          <t>Reírse (emitir sonidos de alegría con la boca).</t>
        </is>
      </c>
      <c r="D66" s="7" t="inlineStr">
        <is>
          <t>Wikcionario</t>
        </is>
      </c>
      <c r="E66" s="7" t="inlineStr">
        <is>
          <t>Acaricia mi ensueño, el suave murmullo de tu suspirar / Como ríe la vida si tus ojos negros me quieren mirar / Y si es mío el</t>
        </is>
      </c>
      <c r="F66" s="7" t="inlineStr">
        <is>
          <t>El Dia Que Me Quieras · Carlos Gardel (1934)</t>
        </is>
      </c>
      <c r="G66" s="7" t="inlineStr">
        <is>
          <t>Y una banderita de taxi libre levantada en cada mano / Te reís, pero solo vos me ves / Porque los maniquíes me guiñan, los semáforos me</t>
        </is>
      </c>
      <c r="H66" s="7" t="inlineStr">
        <is>
          <t>Balada Para un Loco · Roberto Goyeneche (1969)</t>
        </is>
      </c>
      <c r="I66" s="9" t="inlineStr"/>
      <c r="J66" s="9" t="inlineStr"/>
      <c r="K66" s="9" t="inlineStr"/>
      <c r="L66" s="9" t="inlineStr"/>
      <c r="M66" s="9" t="inlineStr"/>
      <c r="N66" s="9" t="inlineStr"/>
      <c r="O66" s="9" t="inlineStr"/>
      <c r="P66" s="9" t="inlineStr"/>
      <c r="Q66" s="7">
        <f>IF(OR(J66="",N66=""),"",IF(J66=N66,"sí","no"))</f>
        <v/>
      </c>
      <c r="R66" s="7">
        <f>IF(OR(K66="",O66=""),"",IF(K66=O66,"sí","no"))</f>
        <v/>
      </c>
      <c r="S66" s="9" t="inlineStr"/>
      <c r="T66" s="9" t="inlineStr"/>
      <c r="U66" s="9" t="inlineStr"/>
    </row>
    <row r="67" ht="45" customHeight="1">
      <c r="A67" s="7" t="inlineStr">
        <is>
          <t>CUR-066</t>
        </is>
      </c>
      <c r="B67" s="7" t="inlineStr">
        <is>
          <t>faso</t>
        </is>
      </c>
      <c r="C67" s="7" t="inlineStr">
        <is>
          <t>Sinónimo de cigarrillo, puede ser de marihuana o de tabaco indistintamente.</t>
        </is>
      </c>
      <c r="D67" s="8" t="inlineStr">
        <is>
          <t>diccionarioargentino.com</t>
        </is>
      </c>
      <c r="E67" s="7" t="inlineStr">
        <is>
          <t>a dos casas de mi puntero / Por eso cuando voy a comprar faso la veo / Ella me dice: "Chico, invitáme a fumar que ese es</t>
        </is>
      </c>
      <c r="F67" s="7" t="inlineStr">
        <is>
          <t>Una Vela · Intoxicados (2003)</t>
        </is>
      </c>
      <c r="G67" s="7" t="inlineStr">
        <is>
          <t>El recuerdo de tu voz que me decía: / "Largá el faso, las pastillas y el alcohol" / Sin embargo, yo seguí dándole duro</t>
        </is>
      </c>
      <c r="H67" s="7" t="inlineStr">
        <is>
          <t>Sentimiento villero · Los Pibes Chorros (2001)</t>
        </is>
      </c>
      <c r="I67" s="9" t="inlineStr"/>
      <c r="J67" s="9" t="inlineStr"/>
      <c r="K67" s="9" t="inlineStr"/>
      <c r="L67" s="9" t="inlineStr"/>
      <c r="M67" s="9" t="inlineStr"/>
      <c r="N67" s="9" t="inlineStr"/>
      <c r="O67" s="9" t="inlineStr"/>
      <c r="P67" s="9" t="inlineStr"/>
      <c r="Q67" s="7">
        <f>IF(OR(J67="",N67=""),"",IF(J67=N67,"sí","no"))</f>
        <v/>
      </c>
      <c r="R67" s="7">
        <f>IF(OR(K67="",O67=""),"",IF(K67=O67,"sí","no"))</f>
        <v/>
      </c>
      <c r="S67" s="9" t="inlineStr"/>
      <c r="T67" s="9" t="inlineStr"/>
      <c r="U67" s="9" t="inlineStr"/>
    </row>
    <row r="68" ht="45" customHeight="1">
      <c r="A68" s="7" t="inlineStr">
        <is>
          <t>CUR-067</t>
        </is>
      </c>
      <c r="B68" s="7" t="inlineStr">
        <is>
          <t>plato</t>
        </is>
      </c>
      <c r="C68" s="7" t="inlineStr">
        <is>
          <t>Situación o persona divertida y alegre.</t>
        </is>
      </c>
      <c r="D68" s="7" t="inlineStr">
        <is>
          <t>Wikcionario</t>
        </is>
      </c>
      <c r="E68" s="7" t="inlineStr">
        <is>
          <t>Donde el pichón se cansó de esperar / Pone en el plato liebre por gato / Cosa que a todos nos puede pasar</t>
        </is>
      </c>
      <c r="F68" s="7" t="inlineStr">
        <is>
          <t>El Show Del Perro Salchicha · María Elena Walsh (1966)</t>
        </is>
      </c>
      <c r="G68" s="7" t="inlineStr">
        <is>
          <t>contrato' (Poh, poh) / Los fanes son los que van a llenar el plato / Y si no estoy contigo, el que te haga sufrir lo mato</t>
        </is>
      </c>
      <c r="H68" s="7" t="inlineStr">
        <is>
          <t>Nena · Zaramay (2018)</t>
        </is>
      </c>
      <c r="I68" s="9" t="inlineStr"/>
      <c r="J68" s="9" t="inlineStr"/>
      <c r="K68" s="9" t="inlineStr"/>
      <c r="L68" s="9" t="inlineStr"/>
      <c r="M68" s="9" t="inlineStr"/>
      <c r="N68" s="9" t="inlineStr"/>
      <c r="O68" s="9" t="inlineStr"/>
      <c r="P68" s="9" t="inlineStr"/>
      <c r="Q68" s="7">
        <f>IF(OR(J68="",N68=""),"",IF(J68=N68,"sí","no"))</f>
        <v/>
      </c>
      <c r="R68" s="7">
        <f>IF(OR(K68="",O68=""),"",IF(K68=O68,"sí","no"))</f>
        <v/>
      </c>
      <c r="S68" s="9" t="inlineStr"/>
      <c r="T68" s="9" t="inlineStr"/>
      <c r="U68" s="9" t="inlineStr"/>
    </row>
    <row r="69" ht="60" customHeight="1">
      <c r="A69" s="7" t="inlineStr">
        <is>
          <t>CUR-068</t>
        </is>
      </c>
      <c r="B69" s="7" t="inlineStr">
        <is>
          <t>quemar</t>
        </is>
      </c>
      <c r="C69" s="7" t="inlineStr">
        <is>
          <t>Delatar a una persona o hacerla objeto de burla. Una persona también puede «quemarse» a sí misma.</t>
        </is>
      </c>
      <c r="D69" s="8" t="inlineStr">
        <is>
          <t>diccionarioargentino.com</t>
        </is>
      </c>
      <c r="E69" s="7" t="inlineStr">
        <is>
          <t>Que al jurar sonriendo, el amor que está mintiendo / Quema en una hoguera todo mi querer / Por una cabeza</t>
        </is>
      </c>
      <c r="F69" s="7" t="inlineStr">
        <is>
          <t>Por Una Cabeza · Carlos Gardel (1935)</t>
        </is>
      </c>
      <c r="G69" s="7" t="inlineStr">
        <is>
          <t>mi avenida (-nida) / Casi que la veo desde el balcón mientra' estoy quemando porquería / ¿Que quién me creo que soy? El mejor al meno' en</t>
        </is>
      </c>
      <c r="H69" s="7" t="inlineStr">
        <is>
          <t>Rockstar · Duki (2017)</t>
        </is>
      </c>
      <c r="I69" s="9" t="inlineStr"/>
      <c r="J69" s="9" t="inlineStr"/>
      <c r="K69" s="9" t="inlineStr"/>
      <c r="L69" s="9" t="inlineStr"/>
      <c r="M69" s="9" t="inlineStr"/>
      <c r="N69" s="9" t="inlineStr"/>
      <c r="O69" s="9" t="inlineStr"/>
      <c r="P69" s="9" t="inlineStr"/>
      <c r="Q69" s="7">
        <f>IF(OR(J69="",N69=""),"",IF(J69=N69,"sí","no"))</f>
        <v/>
      </c>
      <c r="R69" s="7">
        <f>IF(OR(K69="",O69=""),"",IF(K69=O69,"sí","no"))</f>
        <v/>
      </c>
      <c r="S69" s="9" t="inlineStr"/>
      <c r="T69" s="9" t="inlineStr"/>
      <c r="U69" s="9" t="inlineStr"/>
    </row>
    <row r="70" ht="60" customHeight="1">
      <c r="A70" s="7" t="inlineStr">
        <is>
          <t>CUR-069</t>
        </is>
      </c>
      <c r="B70" s="7" t="inlineStr">
        <is>
          <t>ruido</t>
        </is>
      </c>
      <c r="C70" s="7" t="inlineStr">
        <is>
          <t>Sonido, en especial el que es fuerte y desagradable.</t>
        </is>
      </c>
      <c r="D70" s="7" t="inlineStr">
        <is>
          <t>Wikcionario</t>
        </is>
      </c>
      <c r="E70" s="7" t="inlineStr">
        <is>
          <t>Encerrado en mi cuarto y afuera llovía fuerte / Escuché un ruido fuerte y fui a fijarme / Subí a la terraza y vos estabas por tirarte,</t>
        </is>
      </c>
      <c r="F70" s="7" t="inlineStr">
        <is>
          <t>Últimamente · Dillom (2024)</t>
        </is>
      </c>
      <c r="G70" s="7" t="inlineStr">
        <is>
          <t>invité a salir / Vamos a la fiesta de un amigo, hay mucho escabio y mucho ruido / Un chabón me deliró y un roscazo se comió</t>
        </is>
      </c>
      <c r="H70" s="7" t="inlineStr">
        <is>
          <t>Qué mala suerte! · 2 Minutos (1994)</t>
        </is>
      </c>
      <c r="I70" s="9" t="inlineStr"/>
      <c r="J70" s="9" t="inlineStr"/>
      <c r="K70" s="9" t="inlineStr"/>
      <c r="L70" s="9" t="inlineStr"/>
      <c r="M70" s="9" t="inlineStr"/>
      <c r="N70" s="9" t="inlineStr"/>
      <c r="O70" s="9" t="inlineStr"/>
      <c r="P70" s="9" t="inlineStr"/>
      <c r="Q70" s="7">
        <f>IF(OR(J70="",N70=""),"",IF(J70=N70,"sí","no"))</f>
        <v/>
      </c>
      <c r="R70" s="7">
        <f>IF(OR(K70="",O70=""),"",IF(K70=O70,"sí","no"))</f>
        <v/>
      </c>
      <c r="S70" s="9" t="inlineStr"/>
      <c r="T70" s="9" t="inlineStr"/>
      <c r="U70" s="9" t="inlineStr"/>
    </row>
    <row r="71" ht="45" customHeight="1">
      <c r="A71" s="7" t="inlineStr">
        <is>
          <t>CUR-070</t>
        </is>
      </c>
      <c r="B71" s="7" t="inlineStr">
        <is>
          <t>yuta</t>
        </is>
      </c>
      <c r="C71" s="7" t="inlineStr">
        <is>
          <t>De origen lunfardo, quiere decir policía.</t>
        </is>
      </c>
      <c r="D71" s="8" t="inlineStr">
        <is>
          <t>diccionarioargentino.com</t>
        </is>
      </c>
      <c r="E71" s="7" t="inlineStr">
        <is>
          <t>Se creen dueños, salgan del medio, lo digo en serio / Fuera la yuta que meten al barrio, le tira a los pibe' y le mata</t>
        </is>
      </c>
      <c r="F71" s="7" t="inlineStr">
        <is>
          <t>CANGURO · WOS (2019)</t>
        </is>
      </c>
      <c r="G71" s="7" t="inlineStr">
        <is>
          <t>Descarten los tubos, empiecen a correr / La yuta esta muy cerca, no da para correr / El oficial grita, "¡Contra la pared!</t>
        </is>
      </c>
      <c r="H71" s="7" t="inlineStr">
        <is>
          <t>Demasiado tarde (La marcha) · 2 Minutos (1994)</t>
        </is>
      </c>
      <c r="I71" s="9" t="inlineStr"/>
      <c r="J71" s="9" t="inlineStr"/>
      <c r="K71" s="9" t="inlineStr"/>
      <c r="L71" s="9" t="inlineStr"/>
      <c r="M71" s="9" t="inlineStr"/>
      <c r="N71" s="9" t="inlineStr"/>
      <c r="O71" s="9" t="inlineStr"/>
      <c r="P71" s="9" t="inlineStr"/>
      <c r="Q71" s="7">
        <f>IF(OR(J71="",N71=""),"",IF(J71=N71,"sí","no"))</f>
        <v/>
      </c>
      <c r="R71" s="7">
        <f>IF(OR(K71="",O71=""),"",IF(K71=O71,"sí","no"))</f>
        <v/>
      </c>
      <c r="S71" s="9" t="inlineStr"/>
      <c r="T71" s="9" t="inlineStr"/>
      <c r="U71" s="9" t="inlineStr"/>
    </row>
    <row r="72" ht="30" customHeight="1">
      <c r="A72" s="7" t="inlineStr">
        <is>
          <t>CUR-071</t>
        </is>
      </c>
      <c r="B72" s="7" t="inlineStr">
        <is>
          <t>catrera</t>
        </is>
      </c>
      <c r="C72" s="7" t="inlineStr">
        <is>
          <t>Cama plegable con armazón de tijera.</t>
        </is>
      </c>
      <c r="D72" s="7" t="inlineStr">
        <is>
          <t>Wikcionario</t>
        </is>
      </c>
      <c r="E72" s="7" t="inlineStr">
        <is>
          <t>Que hace la vida fulera / La cama es una catrera / Y apoliyar es dormirse</t>
        </is>
      </c>
      <c r="F72" s="7" t="inlineStr">
        <is>
          <t>Milonga Lunfarda · Edmundo Rivero (1972)</t>
        </is>
      </c>
      <c r="G72" s="7" t="inlineStr">
        <is>
          <t>Como si estuvieras vos / Y si vieras la catrera / Como se pone cabrera</t>
        </is>
      </c>
      <c r="H72" s="7" t="inlineStr">
        <is>
          <t>Mi noche triste · Carlos Gardel (1917)</t>
        </is>
      </c>
      <c r="I72" s="9" t="inlineStr"/>
      <c r="J72" s="9" t="inlineStr"/>
      <c r="K72" s="9" t="inlineStr"/>
      <c r="L72" s="9" t="inlineStr"/>
      <c r="M72" s="9" t="inlineStr"/>
      <c r="N72" s="9" t="inlineStr"/>
      <c r="O72" s="9" t="inlineStr"/>
      <c r="P72" s="9" t="inlineStr"/>
      <c r="Q72" s="7">
        <f>IF(OR(J72="",N72=""),"",IF(J72=N72,"sí","no"))</f>
        <v/>
      </c>
      <c r="R72" s="7">
        <f>IF(OR(K72="",O72=""),"",IF(K72=O72,"sí","no"))</f>
        <v/>
      </c>
      <c r="S72" s="9" t="inlineStr"/>
      <c r="T72" s="9" t="inlineStr"/>
      <c r="U72" s="9" t="inlineStr"/>
    </row>
    <row r="73" ht="45" customHeight="1">
      <c r="A73" s="7" t="inlineStr">
        <is>
          <t>CUR-072</t>
        </is>
      </c>
      <c r="B73" s="7" t="inlineStr">
        <is>
          <t>sal</t>
        </is>
      </c>
      <c r="C73" s="7" t="inlineStr">
        <is>
          <t>Dicho de algo, que es de alto costo, caro, de precio alto.</t>
        </is>
      </c>
      <c r="D73" s="8" t="inlineStr">
        <is>
          <t>diccionarioargentino.com</t>
        </is>
      </c>
      <c r="E73" s="7" t="inlineStr">
        <is>
          <t>Muy lejos del sol, que quema de amor / Te doy pan, quieres sal / Nena, nunca te voy a dar lo que me pides</t>
        </is>
      </c>
      <c r="F73" s="7" t="inlineStr">
        <is>
          <t>Seminare · David Lebón (2018)</t>
        </is>
      </c>
      <c r="G73" s="7" t="inlineStr">
        <is>
          <t>Y es igual a las guirnaldas / Y es que este día es algo de sal / Me dejó vibrando al nacer</t>
        </is>
      </c>
      <c r="H73" s="7" t="inlineStr">
        <is>
          <t>Canción Para los Días de la Vida · María Gabriela Epumer (2000)</t>
        </is>
      </c>
      <c r="I73" s="9" t="inlineStr"/>
      <c r="J73" s="9" t="inlineStr"/>
      <c r="K73" s="9" t="inlineStr"/>
      <c r="L73" s="9" t="inlineStr"/>
      <c r="M73" s="9" t="inlineStr"/>
      <c r="N73" s="9" t="inlineStr"/>
      <c r="O73" s="9" t="inlineStr"/>
      <c r="P73" s="9" t="inlineStr"/>
      <c r="Q73" s="7">
        <f>IF(OR(J73="",N73=""),"",IF(J73=N73,"sí","no"))</f>
        <v/>
      </c>
      <c r="R73" s="7">
        <f>IF(OR(K73="",O73=""),"",IF(K73=O73,"sí","no"))</f>
        <v/>
      </c>
      <c r="S73" s="9" t="inlineStr"/>
      <c r="T73" s="9" t="inlineStr"/>
      <c r="U73" s="9" t="inlineStr"/>
    </row>
    <row r="74" ht="45" customHeight="1">
      <c r="A74" s="7" t="inlineStr">
        <is>
          <t>CUR-073</t>
        </is>
      </c>
      <c r="B74" s="7" t="inlineStr">
        <is>
          <t>pucho</t>
        </is>
      </c>
      <c r="C74" s="7" t="inlineStr">
        <is>
          <t>Forma en que se les dice a los cigarrillos.</t>
        </is>
      </c>
      <c r="D74" s="8" t="inlineStr">
        <is>
          <t>diccionarioargentino.com</t>
        </is>
      </c>
      <c r="E74" s="7" t="inlineStr">
        <is>
          <t>(Este es el balneario de los doctores) / Ni del pucho que se fuma, ni la lámpara que cuelga / (Este es el balneario de los doctores</t>
        </is>
      </c>
      <c r="F74" s="7" t="inlineStr">
        <is>
          <t>El Balneario de los Doctores Crotos · Los Piojos (1998)</t>
        </is>
      </c>
      <c r="G74" s="7" t="inlineStr">
        <is>
          <t>Re tirado y descontrolado, un pucho loco me estoy fumando / Estoy sangrando y no tengo miedo ya de morir</t>
        </is>
      </c>
      <c r="H74" s="7" t="inlineStr">
        <is>
          <t>Pucho Loco · Damas Gratis (2008)</t>
        </is>
      </c>
      <c r="I74" s="9" t="inlineStr"/>
      <c r="J74" s="9" t="inlineStr"/>
      <c r="K74" s="9" t="inlineStr"/>
      <c r="L74" s="9" t="inlineStr"/>
      <c r="M74" s="9" t="inlineStr"/>
      <c r="N74" s="9" t="inlineStr"/>
      <c r="O74" s="9" t="inlineStr"/>
      <c r="P74" s="9" t="inlineStr"/>
      <c r="Q74" s="7">
        <f>IF(OR(J74="",N74=""),"",IF(J74=N74,"sí","no"))</f>
        <v/>
      </c>
      <c r="R74" s="7">
        <f>IF(OR(K74="",O74=""),"",IF(K74=O74,"sí","no"))</f>
        <v/>
      </c>
      <c r="S74" s="9" t="inlineStr"/>
      <c r="T74" s="9" t="inlineStr"/>
      <c r="U74" s="9" t="inlineStr"/>
    </row>
    <row r="75" ht="60" customHeight="1">
      <c r="A75" s="7" t="inlineStr">
        <is>
          <t>CUR-074</t>
        </is>
      </c>
      <c r="B75" s="7" t="inlineStr">
        <is>
          <t>joder</t>
        </is>
      </c>
      <c r="C75" s="7" t="inlineStr">
        <is>
          <t>En argentina usamos joder como sinonimo de molestar o un fastidio</t>
        </is>
      </c>
      <c r="D75" s="8" t="inlineStr">
        <is>
          <t>diccionarioargentino.com</t>
        </is>
      </c>
      <c r="E75" s="7" t="inlineStr">
        <is>
          <t>Todo' saben la' consecuencia' de jugar con lo' metal' / Si me joden al pana te hago dos por uno en funeral (¿Oíste?) / Empecé escribiendo pa'</t>
        </is>
      </c>
      <c r="F75" s="7" t="inlineStr">
        <is>
          <t>Oye Baby · Zaramay (2020)</t>
        </is>
      </c>
      <c r="G75" s="7" t="inlineStr">
        <is>
          <t>Tienen el mundo enfrente a sus ojos y no lo ven / Me jode / Lejos del complejo de pendejos que la soben</t>
        </is>
      </c>
      <c r="H75" s="7" t="inlineStr">
        <is>
          <t>Oro Puro · 808god (2020)</t>
        </is>
      </c>
      <c r="I75" s="9" t="inlineStr"/>
      <c r="J75" s="9" t="inlineStr"/>
      <c r="K75" s="9" t="inlineStr"/>
      <c r="L75" s="9" t="inlineStr"/>
      <c r="M75" s="9" t="inlineStr"/>
      <c r="N75" s="9" t="inlineStr"/>
      <c r="O75" s="9" t="inlineStr"/>
      <c r="P75" s="9" t="inlineStr"/>
      <c r="Q75" s="7">
        <f>IF(OR(J75="",N75=""),"",IF(J75=N75,"sí","no"))</f>
        <v/>
      </c>
      <c r="R75" s="7">
        <f>IF(OR(K75="",O75=""),"",IF(K75=O75,"sí","no"))</f>
        <v/>
      </c>
      <c r="S75" s="9" t="inlineStr"/>
      <c r="T75" s="9" t="inlineStr"/>
      <c r="U75" s="9" t="inlineStr"/>
    </row>
    <row r="76" ht="45" customHeight="1">
      <c r="A76" s="7" t="inlineStr">
        <is>
          <t>CUR-075</t>
        </is>
      </c>
      <c r="B76" s="7" t="inlineStr">
        <is>
          <t>trucho</t>
        </is>
      </c>
      <c r="C76" s="7" t="inlineStr">
        <is>
          <t>si se refiere a un objeto, significa que es falso, de mala calidad, copiado, con algún desperfecto o algo que anda mal</t>
        </is>
      </c>
      <c r="D76" s="8" t="inlineStr">
        <is>
          <t>diccionarioargentino.com</t>
        </is>
      </c>
      <c r="E76" s="7" t="inlineStr">
        <is>
          <t>gusta que no pregunten mucho / Que estén buscando amor pero ese amor del trucho / Que sepan que el dolor y el placer es tan efímero</t>
        </is>
      </c>
      <c r="F76" s="7" t="inlineStr">
        <is>
          <t>Flores &amp; Bombones · Yesan 雪山 (2025)</t>
        </is>
      </c>
      <c r="G76" s="7" t="inlineStr"/>
      <c r="H76" s="7" t="inlineStr"/>
      <c r="I76" s="9" t="inlineStr"/>
      <c r="J76" s="9" t="inlineStr"/>
      <c r="K76" s="9" t="inlineStr"/>
      <c r="L76" s="9" t="inlineStr"/>
      <c r="M76" s="9" t="inlineStr"/>
      <c r="N76" s="9" t="inlineStr"/>
      <c r="O76" s="9" t="inlineStr"/>
      <c r="P76" s="9" t="inlineStr"/>
      <c r="Q76" s="7">
        <f>IF(OR(J76="",N76=""),"",IF(J76=N76,"sí","no"))</f>
        <v/>
      </c>
      <c r="R76" s="7">
        <f>IF(OR(K76="",O76=""),"",IF(K76=O76,"sí","no"))</f>
        <v/>
      </c>
      <c r="S76" s="9" t="inlineStr"/>
      <c r="T76" s="9" t="inlineStr"/>
      <c r="U76" s="9" t="inlineStr"/>
    </row>
    <row r="77" ht="45" customHeight="1">
      <c r="A77" s="7" t="inlineStr">
        <is>
          <t>CUR-076</t>
        </is>
      </c>
      <c r="B77" s="7" t="inlineStr">
        <is>
          <t>duro</t>
        </is>
      </c>
      <c r="C77" s="7" t="inlineStr">
        <is>
          <t>Estar muy drogado</t>
        </is>
      </c>
      <c r="D77" s="8" t="inlineStr">
        <is>
          <t>diccionarioargentino.com</t>
        </is>
      </c>
      <c r="E77" s="7" t="inlineStr">
        <is>
          <t>Cabrones, dejen su mensaje ya, después de la señal / La vida es dura, y es común tener que enterrar a un abuelo / Pero no levantar</t>
        </is>
      </c>
      <c r="F77" s="7" t="inlineStr">
        <is>
          <t>Freestyle Session #5 · Zaramay (2019)</t>
        </is>
      </c>
      <c r="G77" s="7" t="inlineStr">
        <is>
          <t>Fría la noche como duro el pisar / La encontraron bajo un árbol aquí atrás</t>
        </is>
      </c>
      <c r="H77" s="7" t="inlineStr">
        <is>
          <t>Georgia Lee · Roxana Amed</t>
        </is>
      </c>
      <c r="I77" s="9" t="inlineStr"/>
      <c r="J77" s="9" t="inlineStr"/>
      <c r="K77" s="9" t="inlineStr"/>
      <c r="L77" s="9" t="inlineStr"/>
      <c r="M77" s="9" t="inlineStr"/>
      <c r="N77" s="9" t="inlineStr"/>
      <c r="O77" s="9" t="inlineStr"/>
      <c r="P77" s="9" t="inlineStr"/>
      <c r="Q77" s="7">
        <f>IF(OR(J77="",N77=""),"",IF(J77=N77,"sí","no"))</f>
        <v/>
      </c>
      <c r="R77" s="7">
        <f>IF(OR(K77="",O77=""),"",IF(K77=O77,"sí","no"))</f>
        <v/>
      </c>
      <c r="S77" s="9" t="inlineStr"/>
      <c r="T77" s="9" t="inlineStr"/>
      <c r="U77" s="9" t="inlineStr"/>
    </row>
    <row r="78" ht="45" customHeight="1">
      <c r="A78" s="7" t="inlineStr">
        <is>
          <t>CUR-077</t>
        </is>
      </c>
      <c r="B78" s="7" t="inlineStr">
        <is>
          <t>guarda</t>
        </is>
      </c>
      <c r="C78" s="7" t="inlineStr">
        <is>
          <t>Forma de llamar la atención. Significa "mira" (imperativo del verbo mirar) en italiano.</t>
        </is>
      </c>
      <c r="D78" s="8" t="inlineStr">
        <is>
          <t>diccionarioargentino.com</t>
        </is>
      </c>
      <c r="E78" s="7" t="inlineStr">
        <is>
          <t>Vos, tu vieja y tu papá / ¡Guarda!... / Cuidensé porque anda suelta</t>
        </is>
      </c>
      <c r="F78" s="7" t="inlineStr">
        <is>
          <t>Chorra · Edmundo Rivero (1959)</t>
        </is>
      </c>
      <c r="G78" s="7" t="inlineStr">
        <is>
          <t>Yo asi le responderia / Guarda tu confiteria sultan / De Constantinopla...</t>
        </is>
      </c>
      <c r="H78" s="7" t="inlineStr">
        <is>
          <t>Rosas orientales · Julián Aguirre</t>
        </is>
      </c>
      <c r="I78" s="9" t="inlineStr"/>
      <c r="J78" s="9" t="inlineStr"/>
      <c r="K78" s="9" t="inlineStr"/>
      <c r="L78" s="9" t="inlineStr"/>
      <c r="M78" s="9" t="inlineStr"/>
      <c r="N78" s="9" t="inlineStr"/>
      <c r="O78" s="9" t="inlineStr"/>
      <c r="P78" s="9" t="inlineStr"/>
      <c r="Q78" s="7">
        <f>IF(OR(J78="",N78=""),"",IF(J78=N78,"sí","no"))</f>
        <v/>
      </c>
      <c r="R78" s="7">
        <f>IF(OR(K78="",O78=""),"",IF(K78=O78,"sí","no"))</f>
        <v/>
      </c>
      <c r="S78" s="9" t="inlineStr"/>
      <c r="T78" s="9" t="inlineStr"/>
      <c r="U78" s="9" t="inlineStr"/>
    </row>
    <row r="79" ht="60" customHeight="1">
      <c r="A79" s="7" t="inlineStr">
        <is>
          <t>CUR-078</t>
        </is>
      </c>
      <c r="B79" s="7" t="inlineStr">
        <is>
          <t>gota</t>
        </is>
      </c>
      <c r="C79" s="7" t="inlineStr">
        <is>
          <t>Volumen pequeño de agua u otro líquido delimitado casi completamente por superficies libres y generalmente con forma cercana a la de una esfera.</t>
        </is>
      </c>
      <c r="D79" s="7" t="inlineStr">
        <is>
          <t>Wikcionario</t>
        </is>
      </c>
      <c r="E79" s="7" t="inlineStr">
        <is>
          <t>Y cómo volver a ser el mismo / Si no me queda ni una gota de amor / Que no te haya dado esta mañana</t>
        </is>
      </c>
      <c r="F79" s="7" t="inlineStr">
        <is>
          <t>Laberinto De Pasiones · Comida China</t>
        </is>
      </c>
      <c r="G79" s="7" t="inlineStr">
        <is>
          <t>Nacidas a la luz de las estrellas / Y cubiertas de gotas de rocío / Algo del cielo de la noche en ellas</t>
        </is>
      </c>
      <c r="H79" s="7" t="inlineStr">
        <is>
          <t>Mensaje · Felipe Boero</t>
        </is>
      </c>
      <c r="I79" s="9" t="inlineStr"/>
      <c r="J79" s="9" t="inlineStr"/>
      <c r="K79" s="9" t="inlineStr"/>
      <c r="L79" s="9" t="inlineStr"/>
      <c r="M79" s="9" t="inlineStr"/>
      <c r="N79" s="9" t="inlineStr"/>
      <c r="O79" s="9" t="inlineStr"/>
      <c r="P79" s="9" t="inlineStr"/>
      <c r="Q79" s="7">
        <f>IF(OR(J79="",N79=""),"",IF(J79=N79,"sí","no"))</f>
        <v/>
      </c>
      <c r="R79" s="7">
        <f>IF(OR(K79="",O79=""),"",IF(K79=O79,"sí","no"))</f>
        <v/>
      </c>
      <c r="S79" s="9" t="inlineStr"/>
      <c r="T79" s="9" t="inlineStr"/>
      <c r="U79" s="9" t="inlineStr"/>
    </row>
    <row r="80" ht="45" customHeight="1">
      <c r="A80" s="7" t="inlineStr">
        <is>
          <t>CUR-079</t>
        </is>
      </c>
      <c r="B80" s="7" t="inlineStr">
        <is>
          <t>corte</t>
        </is>
      </c>
      <c r="C80" s="7" t="inlineStr">
        <is>
          <t>Sinonimo de "tipo"  "osea" y "como"</t>
        </is>
      </c>
      <c r="D80" s="8" t="inlineStr">
        <is>
          <t>diccionarioargentino.com</t>
        </is>
      </c>
      <c r="E80" s="7" t="inlineStr">
        <is>
          <t>'Tamo re puesto y no para la moto / Todo' lo' podere' corte Kakaroto / Logi, no te peine', no salí' en la foto</t>
        </is>
      </c>
      <c r="F80" s="7" t="inlineStr">
        <is>
          <t>KAKAROTO · El Noba</t>
        </is>
      </c>
      <c r="G80" s="7" t="inlineStr">
        <is>
          <t>Volvió el turrito, el que siempre hace desastre / Corte 6 a.m. te paso a busca' en el Lander / Tomamos esa rola y la seguimo' re</t>
        </is>
      </c>
      <c r="H80" s="7" t="inlineStr">
        <is>
          <t>Del Año · El Noba (2021)</t>
        </is>
      </c>
      <c r="I80" s="9" t="inlineStr"/>
      <c r="J80" s="9" t="inlineStr"/>
      <c r="K80" s="9" t="inlineStr"/>
      <c r="L80" s="9" t="inlineStr"/>
      <c r="M80" s="9" t="inlineStr"/>
      <c r="N80" s="9" t="inlineStr"/>
      <c r="O80" s="9" t="inlineStr"/>
      <c r="P80" s="9" t="inlineStr"/>
      <c r="Q80" s="7">
        <f>IF(OR(J80="",N80=""),"",IF(J80=N80,"sí","no"))</f>
        <v/>
      </c>
      <c r="R80" s="7">
        <f>IF(OR(K80="",O80=""),"",IF(K80=O80,"sí","no"))</f>
        <v/>
      </c>
      <c r="S80" s="9" t="inlineStr"/>
      <c r="T80" s="9" t="inlineStr"/>
      <c r="U80" s="9" t="inlineStr"/>
    </row>
    <row r="81" ht="30" customHeight="1">
      <c r="A81" s="7" t="inlineStr">
        <is>
          <t>CUR-080</t>
        </is>
      </c>
      <c r="B81" s="7" t="inlineStr">
        <is>
          <t>batir</t>
        </is>
      </c>
      <c r="C81" s="7" t="inlineStr">
        <is>
          <t>Delatar</t>
        </is>
      </c>
      <c r="D81" s="8" t="inlineStr">
        <is>
          <t>diccionarioargentino.com</t>
        </is>
      </c>
      <c r="E81" s="7" t="inlineStr">
        <is>
          <t>Al zonzo, llaman chabón / Y al vivo le baten rana / La guita o el vento es</t>
        </is>
      </c>
      <c r="F81" s="7" t="inlineStr">
        <is>
          <t>Milonga Lunfarda · Edmundo Rivero (1972)</t>
        </is>
      </c>
      <c r="G81" s="7" t="inlineStr">
        <is>
          <t>I destroy my pain con un bate, mamá / So I am the líder en mi vida, no hay chance</t>
        </is>
      </c>
      <c r="H81" s="7" t="inlineStr">
        <is>
          <t>KAMIKAZE · Sofía Gabanna (2023)</t>
        </is>
      </c>
      <c r="I81" s="9" t="inlineStr"/>
      <c r="J81" s="9" t="inlineStr"/>
      <c r="K81" s="9" t="inlineStr"/>
      <c r="L81" s="9" t="inlineStr"/>
      <c r="M81" s="9" t="inlineStr"/>
      <c r="N81" s="9" t="inlineStr"/>
      <c r="O81" s="9" t="inlineStr"/>
      <c r="P81" s="9" t="inlineStr"/>
      <c r="Q81" s="7">
        <f>IF(OR(J81="",N81=""),"",IF(J81=N81,"sí","no"))</f>
        <v/>
      </c>
      <c r="R81" s="7">
        <f>IF(OR(K81="",O81=""),"",IF(K81=O81,"sí","no"))</f>
        <v/>
      </c>
      <c r="S81" s="9" t="inlineStr"/>
      <c r="T81" s="9" t="inlineStr"/>
      <c r="U81" s="9" t="inlineStr"/>
    </row>
    <row r="82" ht="45" customHeight="1">
      <c r="A82" s="7" t="inlineStr">
        <is>
          <t>CUR-081</t>
        </is>
      </c>
      <c r="B82" s="7" t="inlineStr">
        <is>
          <t>muñeca</t>
        </is>
      </c>
      <c r="C82" s="7" t="inlineStr">
        <is>
          <t>Habilidad, destreza.</t>
        </is>
      </c>
      <c r="D82" s="7" t="inlineStr">
        <is>
          <t>Wikcionario</t>
        </is>
      </c>
      <c r="E82" s="7" t="inlineStr">
        <is>
          <t>Por más que no lo crea yo / Ya la muñeca se acabo / Es seguro que un novio tendrás</t>
        </is>
      </c>
      <c r="F82" s="7" t="inlineStr">
        <is>
          <t>El tiempo pasa y se va · Carlos Javier Beltrán (1982)</t>
        </is>
      </c>
      <c r="G82" s="7" t="inlineStr">
        <is>
          <t>sensación / Si soy fiera sé que, en cambio, tengo un cutis de muñeca / Los que dicen que soy chueca no me han visto en camisón</t>
        </is>
      </c>
      <c r="H82" s="7" t="inlineStr">
        <is>
          <t>Se Dice de Mí · Tita Merello (1955)</t>
        </is>
      </c>
      <c r="I82" s="9" t="inlineStr"/>
      <c r="J82" s="9" t="inlineStr"/>
      <c r="K82" s="9" t="inlineStr"/>
      <c r="L82" s="9" t="inlineStr"/>
      <c r="M82" s="9" t="inlineStr"/>
      <c r="N82" s="9" t="inlineStr"/>
      <c r="O82" s="9" t="inlineStr"/>
      <c r="P82" s="9" t="inlineStr"/>
      <c r="Q82" s="7">
        <f>IF(OR(J82="",N82=""),"",IF(J82=N82,"sí","no"))</f>
        <v/>
      </c>
      <c r="R82" s="7">
        <f>IF(OR(K82="",O82=""),"",IF(K82=O82,"sí","no"))</f>
        <v/>
      </c>
      <c r="S82" s="9" t="inlineStr"/>
      <c r="T82" s="9" t="inlineStr"/>
      <c r="U82" s="9" t="inlineStr"/>
    </row>
    <row r="83" ht="45" customHeight="1">
      <c r="A83" s="7" t="inlineStr">
        <is>
          <t>CUR-082</t>
        </is>
      </c>
      <c r="B83" s="7" t="inlineStr">
        <is>
          <t>ciego</t>
        </is>
      </c>
      <c r="C83" s="7" t="inlineStr">
        <is>
          <t>Jugador al que le han tocado malas cartas.</t>
        </is>
      </c>
      <c r="D83" s="7" t="inlineStr">
        <is>
          <t>Wikcionario</t>
        </is>
      </c>
      <c r="E83" s="7" t="inlineStr">
        <is>
          <t>Condenados, lejos del sol / Nacimos ciegos, nacimos muertos / Salimos del pozo a cavar sus tumbas</t>
        </is>
      </c>
      <c r="F83" s="7" t="inlineStr">
        <is>
          <t>Pedagogía de la venganza · Cienfuegos (2021)</t>
        </is>
      </c>
      <c r="G83" s="7" t="inlineStr">
        <is>
          <t>Los que al mirar no se hacen / Ciegos por gritar / Sin pretender sen premiados</t>
        </is>
      </c>
      <c r="H83" s="7" t="inlineStr">
        <is>
          <t>Rugen Sus Voces · D-mente</t>
        </is>
      </c>
      <c r="I83" s="9" t="inlineStr"/>
      <c r="J83" s="9" t="inlineStr"/>
      <c r="K83" s="9" t="inlineStr"/>
      <c r="L83" s="9" t="inlineStr"/>
      <c r="M83" s="9" t="inlineStr"/>
      <c r="N83" s="9" t="inlineStr"/>
      <c r="O83" s="9" t="inlineStr"/>
      <c r="P83" s="9" t="inlineStr"/>
      <c r="Q83" s="7">
        <f>IF(OR(J83="",N83=""),"",IF(J83=N83,"sí","no"))</f>
        <v/>
      </c>
      <c r="R83" s="7">
        <f>IF(OR(K83="",O83=""),"",IF(K83=O83,"sí","no"))</f>
        <v/>
      </c>
      <c r="S83" s="9" t="inlineStr"/>
      <c r="T83" s="9" t="inlineStr"/>
      <c r="U83" s="9" t="inlineStr"/>
    </row>
    <row r="84" ht="45" customHeight="1">
      <c r="A84" s="7" t="inlineStr">
        <is>
          <t>CUR-083</t>
        </is>
      </c>
      <c r="B84" s="7" t="inlineStr">
        <is>
          <t>bacán</t>
        </is>
      </c>
      <c r="C84" s="7" t="inlineStr">
        <is>
          <t>Persona de alto nivel de vida, muy cómoda y acomodada.</t>
        </is>
      </c>
      <c r="D84" s="8" t="inlineStr">
        <is>
          <t>diccionarioargentino.com</t>
        </is>
      </c>
      <c r="E84" s="7" t="inlineStr">
        <is>
          <t>Del barrio la mondiola sos el más rana / Y te llaman garufa por lo bacán; / Tenés más pretensiones que bataclana</t>
        </is>
      </c>
      <c r="F84" s="7" t="inlineStr">
        <is>
          <t>Garufa · Tita Merello (1968)</t>
        </is>
      </c>
      <c r="G84" s="7" t="inlineStr">
        <is>
          <t>Pebeta de mi barrio, papa, papusa / Que andás paseando en auto con un bacán / Que te has cortado el pelo como se usa</t>
        </is>
      </c>
      <c r="H84" s="7" t="inlineStr">
        <is>
          <t>Pompas · Roberto Goyeneche (1967)</t>
        </is>
      </c>
      <c r="I84" s="9" t="inlineStr"/>
      <c r="J84" s="9" t="inlineStr"/>
      <c r="K84" s="9" t="inlineStr"/>
      <c r="L84" s="9" t="inlineStr"/>
      <c r="M84" s="9" t="inlineStr"/>
      <c r="N84" s="9" t="inlineStr"/>
      <c r="O84" s="9" t="inlineStr"/>
      <c r="P84" s="9" t="inlineStr"/>
      <c r="Q84" s="7">
        <f>IF(OR(J84="",N84=""),"",IF(J84=N84,"sí","no"))</f>
        <v/>
      </c>
      <c r="R84" s="7">
        <f>IF(OR(K84="",O84=""),"",IF(K84=O84,"sí","no"))</f>
        <v/>
      </c>
      <c r="S84" s="9" t="inlineStr"/>
      <c r="T84" s="9" t="inlineStr"/>
      <c r="U84" s="9" t="inlineStr"/>
    </row>
    <row r="85" ht="30" customHeight="1">
      <c r="A85" s="7" t="inlineStr">
        <is>
          <t>CUR-084</t>
        </is>
      </c>
      <c r="B85" s="7" t="inlineStr">
        <is>
          <t>quebrar</t>
        </is>
      </c>
      <c r="C85" s="7" t="inlineStr">
        <is>
          <t>Escabiar hasta vomitar</t>
        </is>
      </c>
      <c r="D85" s="8" t="inlineStr">
        <is>
          <t>diccionarioargentino.com</t>
        </is>
      </c>
      <c r="E85" s="7" t="inlineStr">
        <is>
          <t>¿No ven que soy gotán? / Me quiebro en mi canción / Como un puñal de acero</t>
        </is>
      </c>
      <c r="F85" s="7" t="inlineStr">
        <is>
          <t>Yo soy el tango · Miguel Caló</t>
        </is>
      </c>
      <c r="G85" s="7" t="inlineStr">
        <is>
          <t>El que a tu guacha se llevó / Y el que en el baile te re quebró</t>
        </is>
      </c>
      <c r="H85" s="7" t="inlineStr">
        <is>
          <t>KAKAROTO · El Noba</t>
        </is>
      </c>
      <c r="I85" s="9" t="inlineStr"/>
      <c r="J85" s="9" t="inlineStr"/>
      <c r="K85" s="9" t="inlineStr"/>
      <c r="L85" s="9" t="inlineStr"/>
      <c r="M85" s="9" t="inlineStr"/>
      <c r="N85" s="9" t="inlineStr"/>
      <c r="O85" s="9" t="inlineStr"/>
      <c r="P85" s="9" t="inlineStr"/>
      <c r="Q85" s="7">
        <f>IF(OR(J85="",N85=""),"",IF(J85=N85,"sí","no"))</f>
        <v/>
      </c>
      <c r="R85" s="7">
        <f>IF(OR(K85="",O85=""),"",IF(K85=O85,"sí","no"))</f>
        <v/>
      </c>
      <c r="S85" s="9" t="inlineStr"/>
      <c r="T85" s="9" t="inlineStr"/>
      <c r="U85" s="9" t="inlineStr"/>
    </row>
    <row r="86" ht="60" customHeight="1">
      <c r="A86" s="7" t="inlineStr">
        <is>
          <t>CUR-085</t>
        </is>
      </c>
      <c r="B86" s="7" t="inlineStr">
        <is>
          <t>cristal</t>
        </is>
      </c>
      <c r="C86" s="7" t="inlineStr">
        <is>
          <t>Pieza de vidrio u otra sustancia transparente o semitransparente que se coloca en el hueco de una ventana o una vitrina.</t>
        </is>
      </c>
      <c r="D86" s="7" t="inlineStr">
        <is>
          <t>Wikcionario</t>
        </is>
      </c>
      <c r="E86" s="7" t="inlineStr">
        <is>
          <t>la brisa, rumor de melodía / Y nos darán las fuentes su canto de cristal / El día que me quieras endulzará sus cuerdas el pájaro cantor</t>
        </is>
      </c>
      <c r="F86" s="7" t="inlineStr">
        <is>
          <t>El Dia Que Me Quieras · Carlos Gardel (1934)</t>
        </is>
      </c>
      <c r="G86" s="7" t="inlineStr">
        <is>
          <t>"¿tus cosa'?, hola, ¿qué tal?" / Es otra noche que vuelvo a llenar la copa 'e cristal / Todo' saben la' consecuencia' de jugar con lo' metal'</t>
        </is>
      </c>
      <c r="H86" s="7" t="inlineStr">
        <is>
          <t>Oye Baby · Zaramay (2020)</t>
        </is>
      </c>
      <c r="I86" s="9" t="inlineStr"/>
      <c r="J86" s="9" t="inlineStr"/>
      <c r="K86" s="9" t="inlineStr"/>
      <c r="L86" s="9" t="inlineStr"/>
      <c r="M86" s="9" t="inlineStr"/>
      <c r="N86" s="9" t="inlineStr"/>
      <c r="O86" s="9" t="inlineStr"/>
      <c r="P86" s="9" t="inlineStr"/>
      <c r="Q86" s="7">
        <f>IF(OR(J86="",N86=""),"",IF(J86=N86,"sí","no"))</f>
        <v/>
      </c>
      <c r="R86" s="7">
        <f>IF(OR(K86="",O86=""),"",IF(K86=O86,"sí","no"))</f>
        <v/>
      </c>
      <c r="S86" s="9" t="inlineStr"/>
      <c r="T86" s="9" t="inlineStr"/>
      <c r="U86" s="9" t="inlineStr"/>
    </row>
    <row r="87" ht="45" customHeight="1">
      <c r="A87" s="7" t="inlineStr">
        <is>
          <t>CUR-086</t>
        </is>
      </c>
      <c r="B87" s="7" t="inlineStr">
        <is>
          <t>gato</t>
        </is>
      </c>
      <c r="C87" s="7" t="inlineStr">
        <is>
          <t>Hombre que anda con muchas mujeres (no necesariamente prostitutas), también puede ser usado para hablar con un amigo.</t>
        </is>
      </c>
      <c r="D87" s="8" t="inlineStr">
        <is>
          <t>diccionarioargentino.com</t>
        </is>
      </c>
      <c r="E87" s="7" t="inlineStr">
        <is>
          <t>Donde el pichón se cansó de esperar / Pone en el plato liebre por gato / Cosa que a todos nos puede pasar</t>
        </is>
      </c>
      <c r="F87" s="7" t="inlineStr">
        <is>
          <t>El Show Del Perro Salchicha · María Elena Walsh (1966)</t>
        </is>
      </c>
      <c r="G87" s="7" t="inlineStr">
        <is>
          <t>Me etiquetó en su burra, 'tamo' chelo / Ese gato hatea, 'tamo' chelo / 'Tam-tam-tamo' chelo</t>
        </is>
      </c>
      <c r="H87" s="7" t="inlineStr">
        <is>
          <t>Tamo Chelo · El Noba (2021)</t>
        </is>
      </c>
      <c r="I87" s="9" t="inlineStr"/>
      <c r="J87" s="9" t="inlineStr"/>
      <c r="K87" s="9" t="inlineStr"/>
      <c r="L87" s="9" t="inlineStr"/>
      <c r="M87" s="9" t="inlineStr"/>
      <c r="N87" s="9" t="inlineStr"/>
      <c r="O87" s="9" t="inlineStr"/>
      <c r="P87" s="9" t="inlineStr"/>
      <c r="Q87" s="7">
        <f>IF(OR(J87="",N87=""),"",IF(J87=N87,"sí","no"))</f>
        <v/>
      </c>
      <c r="R87" s="7">
        <f>IF(OR(K87="",O87=""),"",IF(K87=O87,"sí","no"))</f>
        <v/>
      </c>
      <c r="S87" s="9" t="inlineStr"/>
      <c r="T87" s="9" t="inlineStr"/>
      <c r="U87" s="9" t="inlineStr"/>
    </row>
    <row r="88" ht="60" customHeight="1">
      <c r="A88" s="7" t="inlineStr">
        <is>
          <t>CUR-087</t>
        </is>
      </c>
      <c r="B88" s="7" t="inlineStr">
        <is>
          <t>compadrón</t>
        </is>
      </c>
      <c r="C88" s="7" t="inlineStr">
        <is>
          <t>Hombre que trata de imitar al compadrito, pero que carece de la cultura y buenas maneras de él.</t>
        </is>
      </c>
      <c r="D88" s="7" t="inlineStr">
        <is>
          <t>Wikcionario</t>
        </is>
      </c>
      <c r="E88" s="7" t="inlineStr">
        <is>
          <t>soy fiera, que camino a lo malevo / Que soy chueca y que me muevo con un aire compadrón / Que parezco Leguisamo, mi nariz es puntiaguda</t>
        </is>
      </c>
      <c r="F88" s="7" t="inlineStr">
        <is>
          <t>Se Dice de Mí · Tita Merello (1955)</t>
        </is>
      </c>
      <c r="G88" s="7" t="inlineStr">
        <is>
          <t>Yo soy propia hermana entera / De chiclana y compadrón / Si me gano el morfi diario</t>
        </is>
      </c>
      <c r="H88" s="7" t="inlineStr">
        <is>
          <t>Arrabalera · Tita Merello (1955)</t>
        </is>
      </c>
      <c r="I88" s="9" t="inlineStr"/>
      <c r="J88" s="9" t="inlineStr"/>
      <c r="K88" s="9" t="inlineStr"/>
      <c r="L88" s="9" t="inlineStr"/>
      <c r="M88" s="9" t="inlineStr"/>
      <c r="N88" s="9" t="inlineStr"/>
      <c r="O88" s="9" t="inlineStr"/>
      <c r="P88" s="9" t="inlineStr"/>
      <c r="Q88" s="7">
        <f>IF(OR(J88="",N88=""),"",IF(J88=N88,"sí","no"))</f>
        <v/>
      </c>
      <c r="R88" s="7">
        <f>IF(OR(K88="",O88=""),"",IF(K88=O88,"sí","no"))</f>
        <v/>
      </c>
      <c r="S88" s="9" t="inlineStr"/>
      <c r="T88" s="9" t="inlineStr"/>
      <c r="U88" s="9" t="inlineStr"/>
    </row>
    <row r="89" ht="45" customHeight="1">
      <c r="A89" s="7" t="inlineStr">
        <is>
          <t>CUR-088</t>
        </is>
      </c>
      <c r="B89" s="7" t="inlineStr">
        <is>
          <t>colgar</t>
        </is>
      </c>
      <c r="C89" s="7" t="inlineStr">
        <is>
          <t>Olvidar algo o no prestar atención.</t>
        </is>
      </c>
      <c r="D89" s="8" t="inlineStr">
        <is>
          <t>diccionarioargentino.com</t>
        </is>
      </c>
      <c r="E89" s="7" t="inlineStr">
        <is>
          <t>Y vo' sabé' que soy yo / El que la colgó en el Falcon / El que a tu guacha se llevó</t>
        </is>
      </c>
      <c r="F89" s="7" t="inlineStr">
        <is>
          <t>KAKAROTO · El Noba</t>
        </is>
      </c>
      <c r="G89" s="7" t="inlineStr">
        <is>
          <t>Buscando esa gatita que le guste el peligro / Patente tapada, tiro un cuelgue y nos re vimo' / ¿Y ahora qué vamo' a hacer?</t>
        </is>
      </c>
      <c r="H89" s="7" t="inlineStr">
        <is>
          <t>Del Año · El Noba (2021)</t>
        </is>
      </c>
      <c r="I89" s="9" t="inlineStr"/>
      <c r="J89" s="9" t="inlineStr"/>
      <c r="K89" s="9" t="inlineStr"/>
      <c r="L89" s="9" t="inlineStr"/>
      <c r="M89" s="9" t="inlineStr"/>
      <c r="N89" s="9" t="inlineStr"/>
      <c r="O89" s="9" t="inlineStr"/>
      <c r="P89" s="9" t="inlineStr"/>
      <c r="Q89" s="7">
        <f>IF(OR(J89="",N89=""),"",IF(J89=N89,"sí","no"))</f>
        <v/>
      </c>
      <c r="R89" s="7">
        <f>IF(OR(K89="",O89=""),"",IF(K89=O89,"sí","no"))</f>
        <v/>
      </c>
      <c r="S89" s="9" t="inlineStr"/>
      <c r="T89" s="9" t="inlineStr"/>
      <c r="U89" s="9" t="inlineStr"/>
    </row>
    <row r="90" ht="60" customHeight="1">
      <c r="A90" s="7" t="inlineStr">
        <is>
          <t>CUR-089</t>
        </is>
      </c>
      <c r="B90" s="7" t="inlineStr">
        <is>
          <t>verde</t>
        </is>
      </c>
      <c r="C90" s="7" t="inlineStr">
        <is>
          <t>Sinónimo de dólares, moneda estadounidense. Un palo verde son mil dólares.</t>
        </is>
      </c>
      <c r="D90" s="8" t="inlineStr">
        <is>
          <t>diccionarioargentino.com</t>
        </is>
      </c>
      <c r="E90" s="7" t="inlineStr">
        <is>
          <t>Pero acá si somos hombres, y hacemos correr la sangre / Hablame de verdes, de billetes, de mil y quinientos / No me gustan las cazafortuna' y</t>
        </is>
      </c>
      <c r="F90" s="7" t="inlineStr">
        <is>
          <t>Freestyle Session #5 · Zaramay (2019)</t>
        </is>
      </c>
      <c r="G90" s="7" t="inlineStr">
        <is>
          <t>Como tú, era pálido y lejano / Negro el pelo, los ojos verde gris / Y eran suaves sus manos, y eran sus versos tristes</t>
        </is>
      </c>
      <c r="H90" s="7" t="inlineStr">
        <is>
          <t>Tal vez será tu voz · Lidia Borda (2011)</t>
        </is>
      </c>
      <c r="I90" s="9" t="inlineStr"/>
      <c r="J90" s="9" t="inlineStr"/>
      <c r="K90" s="9" t="inlineStr"/>
      <c r="L90" s="9" t="inlineStr"/>
      <c r="M90" s="9" t="inlineStr"/>
      <c r="N90" s="9" t="inlineStr"/>
      <c r="O90" s="9" t="inlineStr"/>
      <c r="P90" s="9" t="inlineStr"/>
      <c r="Q90" s="7">
        <f>IF(OR(J90="",N90=""),"",IF(J90=N90,"sí","no"))</f>
        <v/>
      </c>
      <c r="R90" s="7">
        <f>IF(OR(K90="",O90=""),"",IF(K90=O90,"sí","no"))</f>
        <v/>
      </c>
      <c r="S90" s="9" t="inlineStr"/>
      <c r="T90" s="9" t="inlineStr"/>
      <c r="U90" s="9" t="inlineStr"/>
    </row>
    <row r="91" ht="60" customHeight="1">
      <c r="A91" s="7" t="inlineStr">
        <is>
          <t>CUR-090</t>
        </is>
      </c>
      <c r="B91" s="7" t="inlineStr">
        <is>
          <t>atado</t>
        </is>
      </c>
      <c r="C91" s="7" t="inlineStr">
        <is>
          <t>Paquete de cigarrillos.</t>
        </is>
      </c>
      <c r="D91" s="7" t="inlineStr">
        <is>
          <t>Wikcionario</t>
        </is>
      </c>
      <c r="E91" s="7" t="inlineStr">
        <is>
          <t>congelo las palabras que nacen y mueren en mi! / Tanto tiempo estuve atado en el frió de tus manos / Tanto tiempo encerrado en el frió</t>
        </is>
      </c>
      <c r="F91" s="7" t="inlineStr">
        <is>
          <t>Te Amo · Dar Sangre (2008)</t>
        </is>
      </c>
      <c r="G91" s="7" t="inlineStr">
        <is>
          <t>Con un poco 'e estilo acá to' lo logramo' / Los tengo afuera con el perro atado / Esperan a que calle pa' mete' un bocado</t>
        </is>
      </c>
      <c r="H91" s="7" t="inlineStr">
        <is>
          <t>Hello Cotto · Duki (2017)</t>
        </is>
      </c>
      <c r="I91" s="9" t="inlineStr"/>
      <c r="J91" s="9" t="inlineStr"/>
      <c r="K91" s="9" t="inlineStr"/>
      <c r="L91" s="9" t="inlineStr"/>
      <c r="M91" s="9" t="inlineStr"/>
      <c r="N91" s="9" t="inlineStr"/>
      <c r="O91" s="9" t="inlineStr"/>
      <c r="P91" s="9" t="inlineStr"/>
      <c r="Q91" s="7">
        <f>IF(OR(J91="",N91=""),"",IF(J91=N91,"sí","no"))</f>
        <v/>
      </c>
      <c r="R91" s="7">
        <f>IF(OR(K91="",O91=""),"",IF(K91=O91,"sí","no"))</f>
        <v/>
      </c>
      <c r="S91" s="9" t="inlineStr"/>
      <c r="T91" s="9" t="inlineStr"/>
      <c r="U91" s="9" t="inlineStr"/>
    </row>
  </sheetData>
  <autoFilter ref="A1:U91"/>
  <conditionalFormatting sqref="Q2:Q91">
    <cfRule type="cellIs" priority="1" operator="equal" dxfId="0">
      <formula>"no"</formula>
    </cfRule>
  </conditionalFormatting>
  <conditionalFormatting sqref="R2:R91">
    <cfRule type="cellIs" priority="2" operator="equal" dxfId="0">
      <formula>"no"</formula>
    </cfRule>
  </conditionalFormatting>
  <dataValidations count="3">
    <dataValidation sqref="J2:J91 N2:N91 S2:S91" showDropDown="0" showInputMessage="0" showErrorMessage="1" allowBlank="1" error="Elegí una opción de la lista" type="list">
      <formula1>"falso_amigo,polisemico_interno,lunfardo_sin_homonimo,espanol_general"</formula1>
    </dataValidation>
    <dataValidation sqref="K2 K3 K5 K6 K7 K8 K9 K10 K11 K12 K13 K14 K15 K16 K17 K18 K20 K21 K22 K23 K24 K25 K26 K28 K29 K30 K31 K32 K33 K34 K35 K36 K37 K38 K39 K40 K41 K42 K43 K44 K45 K46 K47 K49 K50 K51 K52 K53 K54 K55 K56 K57 K58 K59 K60 K61 K62 K63 K64 K65 K66 K67 K68 K69 K70 K71 K72 K73 K74 K75 K77 K78 K79 K80 K81 K82 K83 K84 K85 K86 K87 K88 K89 K90 K91 O2 O3 O5 O6 O7 O8 O9 O10 O11 O12 O13 O14 O15 O16 O17 O18 O20 O21 O22 O23 O24 O25 O26 O28 O29 O30 O31 O32 O33 O34 O35 O36 O37 O38 O39 O40 O41 O42 O43 O44 O45 O46 O47 O49 O50 O51 O52 O53 O54 O55 O56 O57 O58 O59 O60 O61 O62 O63 O64 O65 O66 O67 O68 O69 O70 O71 O72 O73 O74 O75 O77 O78 O79 O80 O81 O82 O83 O84 O85 O86 O87 O88 O89 O90 O91 T2 T3 T5 T6 T7 T8 T9 T10 T11 T12 T13 T14 T15 T16 T17 T18 T20 T21 T22 T23 T24 T25 T26 T28 T29 T30 T31 T32 T33 T34 T35 T36 T37 T38 T39 T40 T41 T42 T43 T44 T45 T46 T47 T49 T50 T51 T52 T53 T54 T55 T56 T57 T58 T59 T60 T61 T62 T63 T64 T65 T66 T67 T68 T69 T70 T71 T72 T73 T74 T75 T77 T78 T79 T80 T81 T82 T83 T84 T85 T86 T87 T88 T89 T90 T91" showDropDown="0" showInputMessage="0" showErrorMessage="1" allowBlank="1" error="Elegí A o B" type="list">
      <formula1>"A,B"</formula1>
    </dataValidation>
    <dataValidation sqref="K4 K19 K27 K48 K76 O4 O19 O27 O48 O76 T4 T19 T27 T48 T76" showDropDown="0" showInputMessage="0" showErrorMessage="1" allowBlank="1" error="Esta fila solo tiene fragmento A" type="list">
      <formula1>"A"</formula1>
    </dataValidation>
  </dataValidations>
  <hyperlinks>
    <hyperlink xmlns:r="http://schemas.openxmlformats.org/officeDocument/2006/relationships" ref="D2" r:id="rId1"/>
    <hyperlink xmlns:r="http://schemas.openxmlformats.org/officeDocument/2006/relationships" ref="D4" r:id="rId2"/>
    <hyperlink xmlns:r="http://schemas.openxmlformats.org/officeDocument/2006/relationships" ref="D6" r:id="rId3"/>
    <hyperlink xmlns:r="http://schemas.openxmlformats.org/officeDocument/2006/relationships" ref="D7"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8" r:id="rId13"/>
    <hyperlink xmlns:r="http://schemas.openxmlformats.org/officeDocument/2006/relationships" ref="D22" r:id="rId14"/>
    <hyperlink xmlns:r="http://schemas.openxmlformats.org/officeDocument/2006/relationships" ref="D23" r:id="rId15"/>
    <hyperlink xmlns:r="http://schemas.openxmlformats.org/officeDocument/2006/relationships" ref="D24" r:id="rId16"/>
    <hyperlink xmlns:r="http://schemas.openxmlformats.org/officeDocument/2006/relationships" ref="D25" r:id="rId17"/>
    <hyperlink xmlns:r="http://schemas.openxmlformats.org/officeDocument/2006/relationships" ref="D26" r:id="rId18"/>
    <hyperlink xmlns:r="http://schemas.openxmlformats.org/officeDocument/2006/relationships" ref="D29" r:id="rId19"/>
    <hyperlink xmlns:r="http://schemas.openxmlformats.org/officeDocument/2006/relationships" ref="D32" r:id="rId20"/>
    <hyperlink xmlns:r="http://schemas.openxmlformats.org/officeDocument/2006/relationships" ref="D34" r:id="rId21"/>
    <hyperlink xmlns:r="http://schemas.openxmlformats.org/officeDocument/2006/relationships" ref="D36" r:id="rId22"/>
    <hyperlink xmlns:r="http://schemas.openxmlformats.org/officeDocument/2006/relationships" ref="D37" r:id="rId23"/>
    <hyperlink xmlns:r="http://schemas.openxmlformats.org/officeDocument/2006/relationships" ref="D40" r:id="rId24"/>
    <hyperlink xmlns:r="http://schemas.openxmlformats.org/officeDocument/2006/relationships" ref="D41" r:id="rId25"/>
    <hyperlink xmlns:r="http://schemas.openxmlformats.org/officeDocument/2006/relationships" ref="D42" r:id="rId26"/>
    <hyperlink xmlns:r="http://schemas.openxmlformats.org/officeDocument/2006/relationships" ref="D45" r:id="rId27"/>
    <hyperlink xmlns:r="http://schemas.openxmlformats.org/officeDocument/2006/relationships" ref="D46" r:id="rId28"/>
    <hyperlink xmlns:r="http://schemas.openxmlformats.org/officeDocument/2006/relationships" ref="D47" r:id="rId29"/>
    <hyperlink xmlns:r="http://schemas.openxmlformats.org/officeDocument/2006/relationships" ref="D48" r:id="rId30"/>
    <hyperlink xmlns:r="http://schemas.openxmlformats.org/officeDocument/2006/relationships" ref="D49" r:id="rId31"/>
    <hyperlink xmlns:r="http://schemas.openxmlformats.org/officeDocument/2006/relationships" ref="D50" r:id="rId32"/>
    <hyperlink xmlns:r="http://schemas.openxmlformats.org/officeDocument/2006/relationships" ref="D53" r:id="rId33"/>
    <hyperlink xmlns:r="http://schemas.openxmlformats.org/officeDocument/2006/relationships" ref="D57" r:id="rId34"/>
    <hyperlink xmlns:r="http://schemas.openxmlformats.org/officeDocument/2006/relationships" ref="D58" r:id="rId35"/>
    <hyperlink xmlns:r="http://schemas.openxmlformats.org/officeDocument/2006/relationships" ref="D59" r:id="rId36"/>
    <hyperlink xmlns:r="http://schemas.openxmlformats.org/officeDocument/2006/relationships" ref="D60" r:id="rId37"/>
    <hyperlink xmlns:r="http://schemas.openxmlformats.org/officeDocument/2006/relationships" ref="D63" r:id="rId38"/>
    <hyperlink xmlns:r="http://schemas.openxmlformats.org/officeDocument/2006/relationships" ref="D64" r:id="rId39"/>
    <hyperlink xmlns:r="http://schemas.openxmlformats.org/officeDocument/2006/relationships" ref="D65" r:id="rId40"/>
    <hyperlink xmlns:r="http://schemas.openxmlformats.org/officeDocument/2006/relationships" ref="D67" r:id="rId41"/>
    <hyperlink xmlns:r="http://schemas.openxmlformats.org/officeDocument/2006/relationships" ref="D69" r:id="rId42"/>
    <hyperlink xmlns:r="http://schemas.openxmlformats.org/officeDocument/2006/relationships" ref="D71" r:id="rId43"/>
    <hyperlink xmlns:r="http://schemas.openxmlformats.org/officeDocument/2006/relationships" ref="D73" r:id="rId44"/>
    <hyperlink xmlns:r="http://schemas.openxmlformats.org/officeDocument/2006/relationships" ref="D74" r:id="rId45"/>
    <hyperlink xmlns:r="http://schemas.openxmlformats.org/officeDocument/2006/relationships" ref="D75" r:id="rId46"/>
    <hyperlink xmlns:r="http://schemas.openxmlformats.org/officeDocument/2006/relationships" ref="D76" r:id="rId47"/>
    <hyperlink xmlns:r="http://schemas.openxmlformats.org/officeDocument/2006/relationships" ref="D77" r:id="rId48"/>
    <hyperlink xmlns:r="http://schemas.openxmlformats.org/officeDocument/2006/relationships" ref="D78" r:id="rId49"/>
    <hyperlink xmlns:r="http://schemas.openxmlformats.org/officeDocument/2006/relationships" ref="D80" r:id="rId50"/>
    <hyperlink xmlns:r="http://schemas.openxmlformats.org/officeDocument/2006/relationships" ref="D81" r:id="rId51"/>
    <hyperlink xmlns:r="http://schemas.openxmlformats.org/officeDocument/2006/relationships" ref="D84" r:id="rId52"/>
    <hyperlink xmlns:r="http://schemas.openxmlformats.org/officeDocument/2006/relationships" ref="D85" r:id="rId53"/>
    <hyperlink xmlns:r="http://schemas.openxmlformats.org/officeDocument/2006/relationships" ref="D87" r:id="rId54"/>
    <hyperlink xmlns:r="http://schemas.openxmlformats.org/officeDocument/2006/relationships" ref="D89" r:id="rId55"/>
    <hyperlink xmlns:r="http://schemas.openxmlformats.org/officeDocument/2006/relationships" ref="D90" r:id="rId5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14" customWidth="1" min="2" max="2"/>
  </cols>
  <sheetData>
    <row r="1">
      <c r="A1" s="4" t="inlineStr">
        <is>
          <t>Avance</t>
        </is>
      </c>
    </row>
    <row r="2">
      <c r="A2" s="5" t="inlineStr">
        <is>
          <t>Términos</t>
        </is>
      </c>
      <c r="B2" s="5">
        <f>COUNTIF('Anotación'!$A$2:$A$91,"?*")</f>
        <v/>
      </c>
    </row>
    <row r="3">
      <c r="A3" s="5" t="inlineStr">
        <is>
          <t>Con anotador 1</t>
        </is>
      </c>
      <c r="B3" s="5">
        <f>COUNTIF('Anotación'!$J$2:$J$91,"?*")</f>
        <v/>
      </c>
    </row>
    <row r="4">
      <c r="A4" s="5" t="inlineStr">
        <is>
          <t>Con anotador 2</t>
        </is>
      </c>
      <c r="B4" s="5">
        <f>COUNTIF('Anotación'!$N$2:$N$91,"?*")</f>
        <v/>
      </c>
    </row>
    <row r="5">
      <c r="A5" s="5" t="inlineStr">
        <is>
          <t>Con capa final</t>
        </is>
      </c>
      <c r="B5" s="5">
        <f>COUNTIF('Anotación'!$S$2:$S$91,"?*")</f>
        <v/>
      </c>
    </row>
    <row r="6">
      <c r="A6" s="5" t="inlineStr">
        <is>
          <t>Acuerdo en capa</t>
        </is>
      </c>
      <c r="B6" s="10">
        <f>IFERROR(COUNTIF('Anotación'!$Q$2:$Q$91,"sí")/(COUNTIF('Anotación'!$Q$2:$Q$91,"sí")+COUNTIF('Anotación'!$Q$2:$Q$91,"no")),"")</f>
        <v/>
      </c>
    </row>
    <row r="7">
      <c r="A7" s="5" t="inlineStr">
        <is>
          <t>Acuerdo en fragmento</t>
        </is>
      </c>
      <c r="B7" s="10">
        <f>IFERROR(COUNTIF('Anotación'!$R$2:$R$91,"sí")/(COUNTIF('Anotación'!$R$2:$R$91,"sí")+COUNTIF('Anotación'!$R$2:$R$91,"no")),"")</f>
        <v/>
      </c>
    </row>
    <row r="9">
      <c r="A9" s="4" t="inlineStr">
        <is>
          <t>Capa final</t>
        </is>
      </c>
      <c r="B9" s="4" t="inlineStr">
        <is>
          <t>Términos</t>
        </is>
      </c>
    </row>
    <row r="10">
      <c r="A10" s="5" t="inlineStr">
        <is>
          <t>falso_amigo</t>
        </is>
      </c>
      <c r="B10" s="5">
        <f>COUNTIF('Anotación'!$S$2:$S$91,"falso_amigo")</f>
        <v/>
      </c>
    </row>
    <row r="11">
      <c r="A11" s="5" t="inlineStr">
        <is>
          <t>polisemico_interno</t>
        </is>
      </c>
      <c r="B11" s="5">
        <f>COUNTIF('Anotación'!$S$2:$S$91,"polisemico_interno")</f>
        <v/>
      </c>
    </row>
    <row r="12">
      <c r="A12" s="5" t="inlineStr">
        <is>
          <t>lunfardo_sin_homonimo</t>
        </is>
      </c>
      <c r="B12" s="5">
        <f>COUNTIF('Anotación'!$S$2:$S$91,"lunfardo_sin_homonimo")</f>
        <v/>
      </c>
    </row>
    <row r="13">
      <c r="A13" s="5" t="inlineStr">
        <is>
          <t>espanol_general</t>
        </is>
      </c>
      <c r="B13" s="5">
        <f>COUNTIF('Anotación'!$S$2:$S$91,"espanol_general")</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2026-09-27T21:28:37Z</dcterms:created>
  <dcterms:modified xsi:type="dcterms:W3CDTF">2026-09-27T21:28:37Z</dcterms:modified>
</cp:coreProperties>
</file>