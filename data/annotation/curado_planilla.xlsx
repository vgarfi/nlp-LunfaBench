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ciones" sheetId="1" state="visible" r:id="rId1"/>
    <sheet name="Anotación" sheetId="2" state="visible" r:id="rId2"/>
    <sheet name="Resumen" sheetId="3" state="visible" r:id="rId3"/>
  </sheets>
  <definedNames>
    <definedName name="_xlnm._FilterDatabase" localSheetId="1" hidden="1">'Anotación'!$A$1:$U$91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sz val="10"/>
    </font>
    <font>
      <name val="Arial"/>
      <b val="1"/>
      <sz val="10"/>
    </font>
    <font>
      <name val="Arial"/>
      <color rgb="001F5FAD"/>
      <sz val="10"/>
      <u val="single"/>
    </font>
  </fonts>
  <fills count="4">
    <fill>
      <patternFill/>
    </fill>
    <fill>
      <patternFill patternType="gray125"/>
    </fill>
    <fill>
      <patternFill patternType="solid">
        <fgColor rgb="00E7E6E1"/>
      </patternFill>
    </fill>
    <fill>
      <patternFill patternType="solid">
        <fgColor rgb="00FFF2CC"/>
      </patternFill>
    </fill>
  </fills>
  <borders count="2">
    <border>
      <left/>
      <right/>
      <top/>
      <bottom/>
      <diagonal/>
    </border>
    <border>
      <bottom style="thin">
        <color rgb="00D0CFC9"/>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2" fillId="0" borderId="0" pivotButton="0" quotePrefix="0" xfId="0"/>
    <xf numFmtId="0" fontId="3" fillId="2" borderId="0" applyAlignment="1" pivotButton="0" quotePrefix="0" xfId="0">
      <alignment vertical="center"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3" borderId="1" applyAlignment="1" pivotButton="0" quotePrefix="0" xfId="0">
      <alignment vertical="top" wrapText="1"/>
    </xf>
    <xf numFmtId="9" fontId="2" fillId="0" borderId="0" pivotButton="0" quotePrefix="0" xfId="0"/>
  </cellXfs>
  <cellStyles count="1">
    <cellStyle name="Normal" xfId="0" builtinId="0" hidden="0"/>
  </cellStyles>
  <dxfs count="1">
    <dxf>
      <fill>
        <patternFill patternType="solid">
          <fgColor rgb="00F8D7D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diccionarioargentino.com/term/gira" TargetMode="External" Id="rId1" /><Relationship Type="http://schemas.openxmlformats.org/officeDocument/2006/relationships/hyperlink" Target="https://www.diccionarioargentino.com/term/Chamuyo+" TargetMode="External" Id="rId2" /><Relationship Type="http://schemas.openxmlformats.org/officeDocument/2006/relationships/hyperlink" Target="https://www.diccionarioargentino.com/term/bot%C3%B3n" TargetMode="External" Id="rId3" /><Relationship Type="http://schemas.openxmlformats.org/officeDocument/2006/relationships/hyperlink" Target="https://www.diccionarioargentino.com/term/Burra" TargetMode="External" Id="rId4" /><Relationship Type="http://schemas.openxmlformats.org/officeDocument/2006/relationships/hyperlink" Target="https://www.diccionarioargentino.com/term/Negro" TargetMode="External" Id="rId5" /><Relationship Type="http://schemas.openxmlformats.org/officeDocument/2006/relationships/hyperlink" Target="https://www.diccionarioargentino.com/term/Timba" TargetMode="External" Id="rId6" /><Relationship Type="http://schemas.openxmlformats.org/officeDocument/2006/relationships/hyperlink" Target="https://www.diccionarioargentino.com/term/viejo" TargetMode="External" Id="rId7" /><Relationship Type="http://schemas.openxmlformats.org/officeDocument/2006/relationships/hyperlink" Target="https://www.diccionarioargentino.com/term/pico" TargetMode="External" Id="rId8" /><Relationship Type="http://schemas.openxmlformats.org/officeDocument/2006/relationships/hyperlink" Target="https://www.diccionarioargentino.com/term/cana" TargetMode="External" Id="rId9" /><Relationship Type="http://schemas.openxmlformats.org/officeDocument/2006/relationships/hyperlink" Target="https://www.diccionarioargentino.com/term/Papa" TargetMode="External" Id="rId10" /><Relationship Type="http://schemas.openxmlformats.org/officeDocument/2006/relationships/hyperlink" Target="https://www.diccionarioargentino.com/term/Gil" TargetMode="External" Id="rId11" /><Relationship Type="http://schemas.openxmlformats.org/officeDocument/2006/relationships/hyperlink" Target="https://www.diccionarioargentino.com/term/ojo+%2F+ojito+%2F+ojota+%2F+O%27Higgins" TargetMode="External" Id="rId12" /><Relationship Type="http://schemas.openxmlformats.org/officeDocument/2006/relationships/hyperlink" Target="https://www.diccionarioargentino.com/term/Pendejo" TargetMode="External" Id="rId13" /><Relationship Type="http://schemas.openxmlformats.org/officeDocument/2006/relationships/hyperlink" Target="https://www.diccionarioargentino.com/term/deje%2Fdejaste+la+leche+al+fuego" TargetMode="External" Id="rId14" /><Relationship Type="http://schemas.openxmlformats.org/officeDocument/2006/relationships/hyperlink" Target="https://www.diccionarioargentino.com/term/gorri%C3%B3n" TargetMode="External" Id="rId15" /><Relationship Type="http://schemas.openxmlformats.org/officeDocument/2006/relationships/hyperlink" Target="https://www.diccionarioargentino.com/term/birra" TargetMode="External" Id="rId16" /><Relationship Type="http://schemas.openxmlformats.org/officeDocument/2006/relationships/hyperlink" Target="https://www.diccionarioargentino.com/term/boludo" TargetMode="External" Id="rId17" /><Relationship Type="http://schemas.openxmlformats.org/officeDocument/2006/relationships/hyperlink" Target="https://www.diccionarioargentino.com/term/Mate" TargetMode="External" Id="rId18" /><Relationship Type="http://schemas.openxmlformats.org/officeDocument/2006/relationships/hyperlink" Target="https://www.diccionarioargentino.com/term/Cargar" TargetMode="External" Id="rId19" /><Relationship Type="http://schemas.openxmlformats.org/officeDocument/2006/relationships/hyperlink" Target="https://www.diccionarioargentino.com/term/porte%C3%B1o" TargetMode="External" Id="rId20" /><Relationship Type="http://schemas.openxmlformats.org/officeDocument/2006/relationships/hyperlink" Target="https://www.diccionarioargentino.com/term/pinta" TargetMode="External" Id="rId21" /><Relationship Type="http://schemas.openxmlformats.org/officeDocument/2006/relationships/hyperlink" Target="https://www.diccionarioargentino.com/term/Dormirse" TargetMode="External" Id="rId22" /><Relationship Type="http://schemas.openxmlformats.org/officeDocument/2006/relationships/hyperlink" Target="https://www.diccionarioargentino.com/term/Logi" TargetMode="External" Id="rId23" /><Relationship Type="http://schemas.openxmlformats.org/officeDocument/2006/relationships/hyperlink" Target="https://www.diccionarioargentino.com/term/Rajar" TargetMode="External" Id="rId24" /><Relationship Type="http://schemas.openxmlformats.org/officeDocument/2006/relationships/hyperlink" Target="https://www.diccionarioargentino.com/term/percanta" TargetMode="External" Id="rId25" /><Relationship Type="http://schemas.openxmlformats.org/officeDocument/2006/relationships/hyperlink" Target="https://www.diccionarioargentino.com/term/Manzana" TargetMode="External" Id="rId26" /><Relationship Type="http://schemas.openxmlformats.org/officeDocument/2006/relationships/hyperlink" Target="https://www.diccionarioargentino.com/term/fumar" TargetMode="External" Id="rId27" /><Relationship Type="http://schemas.openxmlformats.org/officeDocument/2006/relationships/hyperlink" Target="https://www.diccionarioargentino.com/term/Pintar" TargetMode="External" Id="rId28" /><Relationship Type="http://schemas.openxmlformats.org/officeDocument/2006/relationships/hyperlink" Target="https://www.diccionarioargentino.com/term/Trap" TargetMode="External" Id="rId29" /><Relationship Type="http://schemas.openxmlformats.org/officeDocument/2006/relationships/hyperlink" Target="https://www.diccionarioargentino.com/term/chorro" TargetMode="External" Id="rId30" /><Relationship Type="http://schemas.openxmlformats.org/officeDocument/2006/relationships/hyperlink" Target="https://www.diccionarioargentino.com/term/Quemar" TargetMode="External" Id="rId31" /><Relationship Type="http://schemas.openxmlformats.org/officeDocument/2006/relationships/hyperlink" Target="https://www.diccionarioargentino.com/term/joder" TargetMode="External" Id="rId32" /><Relationship Type="http://schemas.openxmlformats.org/officeDocument/2006/relationships/hyperlink" Target="https://www.diccionarioargentino.com/term/trucho" TargetMode="External" Id="rId33" /><Relationship Type="http://schemas.openxmlformats.org/officeDocument/2006/relationships/hyperlink" Target="https://www.diccionarioargentino.com/term/Duro" TargetMode="External" Id="rId34" /><Relationship Type="http://schemas.openxmlformats.org/officeDocument/2006/relationships/hyperlink" Target="https://www.diccionarioargentino.com/term/Guarda" TargetMode="External" Id="rId35" /><Relationship Type="http://schemas.openxmlformats.org/officeDocument/2006/relationships/hyperlink" Target="https://www.diccionarioargentino.com/term/Corte" TargetMode="External" Id="rId36" /><Relationship Type="http://schemas.openxmlformats.org/officeDocument/2006/relationships/hyperlink" Target="https://www.diccionarioargentino.com/term/batir" TargetMode="External" Id="rId37" /><Relationship Type="http://schemas.openxmlformats.org/officeDocument/2006/relationships/hyperlink" Target="https://www.diccionarioargentino.com/term/Novia" TargetMode="External" Id="rId38" /><Relationship Type="http://schemas.openxmlformats.org/officeDocument/2006/relationships/hyperlink" Target="https://www.diccionarioargentino.com/term/quebrar" TargetMode="External" Id="rId39" /><Relationship Type="http://schemas.openxmlformats.org/officeDocument/2006/relationships/hyperlink" Target="https://www.diccionarioargentino.com/term/gato" TargetMode="External" Id="rId40" /><Relationship Type="http://schemas.openxmlformats.org/officeDocument/2006/relationships/hyperlink" Target="https://www.diccionarioargentino.com/term/Colgar" TargetMode="External" Id="rId41" /><Relationship Type="http://schemas.openxmlformats.org/officeDocument/2006/relationships/hyperlink" Target="https://www.diccionarioargentino.com/term/Verdes" TargetMode="External" Id="rId42" /></Relationships>
</file>

<file path=xl/worksheets/sheet1.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120" customWidth="1" min="1" max="1"/>
  </cols>
  <sheetData>
    <row r="1">
      <c r="A1" s="1" t="inlineStr">
        <is>
          <t>LunfaBench · Planilla del conjunto curado</t>
        </is>
      </c>
    </row>
    <row r="3">
      <c r="A3" s="2" t="inlineStr">
        <is>
          <t>Son los 90 términos del conjunto curado: 40 falsos amigos, 20 sin homónimo, 15 polisémicos y 15 controles, mezclados. Cada uno trae dos fragmentos reales (A y B) de canciones de artistas de Buenos Aires.</t>
        </is>
      </c>
    </row>
    <row r="4">
      <c r="A4" s="3" t="inlineStr">
        <is>
          <t>Qué hace cada anotador</t>
        </is>
      </c>
    </row>
    <row r="5">
      <c r="A5" s="2" t="inlineStr">
        <is>
          <t>1. Escribí tu nombre en «anotador». Cada fila la anotan dos personas, por separado: no mires la columna de la otra persona hasta terminar.</t>
        </is>
      </c>
    </row>
    <row r="6">
      <c r="A6" s="2" t="inlineStr">
        <is>
          <t>2. En «capa», elegí de la lista qué tipo de palabra es, pensando en Buenos Aires:</t>
        </is>
      </c>
    </row>
    <row r="7">
      <c r="A7" s="2" t="inlineStr">
        <is>
          <t xml:space="preserve">   falso_amigo: tiene una acepción de España o México que acá no se usa (curro: acá negocio turbio, en España trabajo).</t>
        </is>
      </c>
    </row>
    <row r="8">
      <c r="A8" s="2" t="inlineStr">
        <is>
          <t xml:space="preserve">   polisemico_interno: tiene varias acepciones y todas se usan acá (pileta: piscina y pileta de la cocina).</t>
        </is>
      </c>
    </row>
    <row r="9">
      <c r="A9" s="2" t="inlineStr">
        <is>
          <t xml:space="preserve">   lunfardo_sin_homonimo: no existe con otro sentido en España ni en México (bondi, chamuyo).</t>
        </is>
      </c>
    </row>
    <row r="10">
      <c r="A10" s="2" t="inlineStr">
        <is>
          <t xml:space="preserve">   espanol_general: es una palabra común del español, que significa lo mismo en todos lados (ventana).</t>
        </is>
      </c>
    </row>
    <row r="11">
      <c r="A11" s="2" t="inlineStr">
        <is>
          <t>3. En «fragmento», elegí A o B: el que usa la acepción de referencia. Si los dos la usan, el que mejor se entienda. Si ninguno, el más cercano, y contalo en «comentario».</t>
        </is>
      </c>
    </row>
    <row r="12">
      <c r="A12" s="2" t="inlineStr">
        <is>
          <t>4. Si elegiste falso_amigo, escribí la acepción competidora y dónde se usa, por ejemplo «trabajo (España)».</t>
        </is>
      </c>
    </row>
    <row r="13">
      <c r="A13" s="2" t="inlineStr">
        <is>
          <t>Se puede consultar el DLE y el Diccionario de americanismos. No consultes Wiktionary ni Wikcionario: son la fuente del filtro automático y el acuerdo quedaría inflado.</t>
        </is>
      </c>
    </row>
    <row r="14">
      <c r="A14" s="3" t="inlineStr">
        <is>
          <t>Después: decisión final</t>
        </is>
      </c>
    </row>
    <row r="15">
      <c r="A15" s="2" t="inlineStr">
        <is>
          <t>Cuando los dos anotadores terminan, las columnas «coincide» se completan solas. Si coinciden, copien la respuesta en «capa final» y «fragmento final»; si no, discútanla y dejen el motivo en «comentario».</t>
        </is>
      </c>
    </row>
    <row r="16">
      <c r="A16" s="3" t="inlineStr">
        <is>
          <t>Celdas a completar</t>
        </is>
      </c>
    </row>
    <row r="17">
      <c r="A17" s="2" t="inlineStr">
        <is>
          <t>Solo las celdas amarillas de la hoja Anotación. Las demás vienen del pipeline o son fórmulas. La hoja Resumen muestra el avance y el acuerdo.</t>
        </is>
      </c>
    </row>
    <row r="18">
      <c r="A18" s="3" t="inlineStr">
        <is>
          <t>Ejemplo de fila completa (el término no está en la planilla)</t>
        </is>
      </c>
    </row>
    <row r="20">
      <c r="A20" s="4" t="inlineStr">
        <is>
          <t>término</t>
        </is>
      </c>
      <c r="B20" s="4" t="inlineStr">
        <is>
          <t>acepción de referencia</t>
        </is>
      </c>
      <c r="C20" s="4" t="inlineStr">
        <is>
          <t>anotador 1</t>
        </is>
      </c>
      <c r="D20" s="4" t="inlineStr">
        <is>
          <t>capa 1</t>
        </is>
      </c>
      <c r="E20" s="4" t="inlineStr">
        <is>
          <t>fragmento 1</t>
        </is>
      </c>
      <c r="F20" s="4" t="inlineStr">
        <is>
          <t>acepción competidora 1</t>
        </is>
      </c>
    </row>
    <row r="21">
      <c r="A21" s="5" t="inlineStr">
        <is>
          <t>curro</t>
        </is>
      </c>
      <c r="B21" s="5" t="inlineStr">
        <is>
          <t>Negocio turbio o arreglo deshonesto</t>
        </is>
      </c>
      <c r="C21" s="5" t="inlineStr">
        <is>
          <t>Tomás</t>
        </is>
      </c>
      <c r="D21" s="5" t="inlineStr">
        <is>
          <t>falso_amigo</t>
        </is>
      </c>
      <c r="E21" s="5" t="inlineStr">
        <is>
          <t>A</t>
        </is>
      </c>
      <c r="F21" s="5" t="inlineStr">
        <is>
          <t>trabajo, empleo (España)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9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42" customWidth="1" min="3" max="3"/>
    <col width="16" customWidth="1" min="4" max="4"/>
    <col width="46" customWidth="1" min="5" max="5"/>
    <col width="24" customWidth="1" min="6" max="6"/>
    <col width="46" customWidth="1" min="7" max="7"/>
    <col width="24" customWidth="1" min="8" max="8"/>
    <col width="11" customWidth="1" min="9" max="9"/>
    <col width="20" customWidth="1" min="10" max="10"/>
    <col width="11" customWidth="1" min="11" max="11"/>
    <col width="24" customWidth="1" min="12" max="12"/>
    <col width="11" customWidth="1" min="13" max="13"/>
    <col width="20" customWidth="1" min="14" max="14"/>
    <col width="11" customWidth="1" min="15" max="15"/>
    <col width="24" customWidth="1" min="16" max="16"/>
    <col width="9" customWidth="1" min="17" max="17"/>
    <col width="10" customWidth="1" min="18" max="18"/>
    <col width="20" customWidth="1" min="19" max="19"/>
    <col width="11" customWidth="1" min="20" max="20"/>
    <col width="30" customWidth="1" min="21" max="21"/>
  </cols>
  <sheetData>
    <row r="1">
      <c r="A1" s="6" t="inlineStr">
        <is>
          <t>id</t>
        </is>
      </c>
      <c r="B1" s="6" t="inlineStr">
        <is>
          <t>término</t>
        </is>
      </c>
      <c r="C1" s="6" t="inlineStr">
        <is>
          <t>acepción de referencia</t>
        </is>
      </c>
      <c r="D1" s="6" t="inlineStr">
        <is>
          <t>fuente</t>
        </is>
      </c>
      <c r="E1" s="6" t="inlineStr">
        <is>
          <t>fragmento A</t>
        </is>
      </c>
      <c r="F1" s="6" t="inlineStr">
        <is>
          <t>canción A</t>
        </is>
      </c>
      <c r="G1" s="6" t="inlineStr">
        <is>
          <t>fragmento B</t>
        </is>
      </c>
      <c r="H1" s="6" t="inlineStr">
        <is>
          <t>canción B</t>
        </is>
      </c>
      <c r="I1" s="6" t="inlineStr">
        <is>
          <t>anotador 1</t>
        </is>
      </c>
      <c r="J1" s="6" t="inlineStr">
        <is>
          <t>capa 1</t>
        </is>
      </c>
      <c r="K1" s="6" t="inlineStr">
        <is>
          <t>fragmento 1</t>
        </is>
      </c>
      <c r="L1" s="6" t="inlineStr">
        <is>
          <t>acepción competidora 1</t>
        </is>
      </c>
      <c r="M1" s="6" t="inlineStr">
        <is>
          <t>anotador 2</t>
        </is>
      </c>
      <c r="N1" s="6" t="inlineStr">
        <is>
          <t>capa 2</t>
        </is>
      </c>
      <c r="O1" s="6" t="inlineStr">
        <is>
          <t>fragmento 2</t>
        </is>
      </c>
      <c r="P1" s="6" t="inlineStr">
        <is>
          <t>acepción competidora 2</t>
        </is>
      </c>
      <c r="Q1" s="6" t="inlineStr">
        <is>
          <t>coincide capa</t>
        </is>
      </c>
      <c r="R1" s="6" t="inlineStr">
        <is>
          <t>coincide fragmento</t>
        </is>
      </c>
      <c r="S1" s="6" t="inlineStr">
        <is>
          <t>capa final</t>
        </is>
      </c>
      <c r="T1" s="6" t="inlineStr">
        <is>
          <t>fragmento final</t>
        </is>
      </c>
      <c r="U1" s="6" t="inlineStr">
        <is>
          <t>comentario</t>
        </is>
      </c>
    </row>
    <row r="2" ht="45" customHeight="1">
      <c r="A2" s="7" t="inlineStr">
        <is>
          <t>CUR-001</t>
        </is>
      </c>
      <c r="B2" s="7" t="inlineStr">
        <is>
          <t>gira</t>
        </is>
      </c>
      <c r="C2" s="7" t="inlineStr">
        <is>
          <t>Ir a muchos lugares en un mismo día Habitualmente se lo usa cuando salen a varias fiestas una misma noche</t>
        </is>
      </c>
      <c r="D2" s="8" t="inlineStr">
        <is>
          <t>diccionarioargentino.com</t>
        </is>
      </c>
      <c r="E2" s="7" t="inlineStr">
        <is>
          <t>quiero a todos los pibe' cantina / Y que levanten bien la mano los que se bancan la gira / No tomo Chandon, me sirve el Federico</t>
        </is>
      </c>
      <c r="F2" s="7" t="inlineStr">
        <is>
          <t>Tamo Chelo · El Noba (2021)</t>
        </is>
      </c>
      <c r="G2" s="7" t="inlineStr">
        <is>
          <t>Maniac in my mind en medio de la ciudad / Girl, gira el volante del todo / Boxea sin guantes que es lo que quieren todos</t>
        </is>
      </c>
      <c r="H2" s="7" t="inlineStr">
        <is>
          <t>KAMIKAZE · Sofía Gabanna (2023)</t>
        </is>
      </c>
      <c r="I2" s="9" t="inlineStr"/>
      <c r="J2" s="9" t="inlineStr"/>
      <c r="K2" s="9" t="inlineStr"/>
      <c r="L2" s="9" t="inlineStr"/>
      <c r="M2" s="9" t="inlineStr"/>
      <c r="N2" s="9" t="inlineStr"/>
      <c r="O2" s="9" t="inlineStr"/>
      <c r="P2" s="9" t="inlineStr"/>
      <c r="Q2" s="7">
        <f>IF(OR(J2="",N2=""),"",IF(J2=N2,"sí","no"))</f>
        <v/>
      </c>
      <c r="R2" s="7">
        <f>IF(OR(K2="",O2=""),"",IF(K2=O2,"sí","no"))</f>
        <v/>
      </c>
      <c r="S2" s="9" t="inlineStr"/>
      <c r="T2" s="9" t="inlineStr"/>
      <c r="U2" s="9" t="inlineStr"/>
    </row>
    <row r="3" ht="45" customHeight="1">
      <c r="A3" s="7" t="inlineStr">
        <is>
          <t>CUR-002</t>
        </is>
      </c>
      <c r="B3" s="7" t="inlineStr">
        <is>
          <t>idear</t>
        </is>
      </c>
      <c r="C3" s="7" t="inlineStr">
        <is>
          <t>Concebir algo nuevo con la imaginación.</t>
        </is>
      </c>
      <c r="D3" s="7" t="inlineStr">
        <is>
          <t>Wikcionario</t>
        </is>
      </c>
      <c r="E3" s="7" t="inlineStr">
        <is>
          <t>Sabiendo que no quiero que te quedes / El hacedor de ideas se estrella en su carrera / La dirección del tiempo es frágil y se tienta</t>
        </is>
      </c>
      <c r="F3" s="7" t="inlineStr">
        <is>
          <t>Pinamar · Francisco Bochatón</t>
        </is>
      </c>
      <c r="G3" s="7" t="inlineStr">
        <is>
          <t>Al anochecer seducido de tensión / Vuela sin control ideando la misión / Vértigo inmoral, juicio sin identidad</t>
        </is>
      </c>
      <c r="H3" s="7" t="inlineStr">
        <is>
          <t>Adicto · D-mente</t>
        </is>
      </c>
      <c r="I3" s="9" t="inlineStr"/>
      <c r="J3" s="9" t="inlineStr"/>
      <c r="K3" s="9" t="inlineStr"/>
      <c r="L3" s="9" t="inlineStr"/>
      <c r="M3" s="9" t="inlineStr"/>
      <c r="N3" s="9" t="inlineStr"/>
      <c r="O3" s="9" t="inlineStr"/>
      <c r="P3" s="9" t="inlineStr"/>
      <c r="Q3" s="7">
        <f>IF(OR(J3="",N3=""),"",IF(J3=N3,"sí","no"))</f>
        <v/>
      </c>
      <c r="R3" s="7">
        <f>IF(OR(K3="",O3=""),"",IF(K3=O3,"sí","no"))</f>
        <v/>
      </c>
      <c r="S3" s="9" t="inlineStr"/>
      <c r="T3" s="9" t="inlineStr"/>
      <c r="U3" s="9" t="inlineStr"/>
    </row>
    <row r="4" ht="30" customHeight="1">
      <c r="A4" s="7" t="inlineStr">
        <is>
          <t>CUR-003</t>
        </is>
      </c>
      <c r="B4" s="7" t="inlineStr">
        <is>
          <t>chamuyo</t>
        </is>
      </c>
      <c r="C4" s="7" t="inlineStr">
        <is>
          <t>Hablarle a una persona con un propósito, mintiéndole para que te crea.</t>
        </is>
      </c>
      <c r="D4" s="8" t="inlineStr">
        <is>
          <t>diccionarioargentino.com</t>
        </is>
      </c>
      <c r="E4" s="7" t="inlineStr">
        <is>
          <t>Tango de triste motivo / Cuando siento tu chamuyo / Se queda en mi alma el arrullo</t>
        </is>
      </c>
      <c r="F4" s="7" t="inlineStr">
        <is>
          <t>Apología del Tango · Tita Merello (1969)</t>
        </is>
      </c>
      <c r="G4" s="7" t="inlineStr"/>
      <c r="H4" s="7" t="inlineStr"/>
      <c r="I4" s="9" t="inlineStr"/>
      <c r="J4" s="9" t="inlineStr"/>
      <c r="K4" s="9" t="inlineStr"/>
      <c r="L4" s="9" t="inlineStr"/>
      <c r="M4" s="9" t="inlineStr"/>
      <c r="N4" s="9" t="inlineStr"/>
      <c r="O4" s="9" t="inlineStr"/>
      <c r="P4" s="9" t="inlineStr"/>
      <c r="Q4" s="7">
        <f>IF(OR(J4="",N4=""),"",IF(J4=N4,"sí","no"))</f>
        <v/>
      </c>
      <c r="R4" s="7">
        <f>IF(OR(K4="",O4=""),"",IF(K4=O4,"sí","no"))</f>
        <v/>
      </c>
      <c r="S4" s="9" t="inlineStr"/>
      <c r="T4" s="9" t="inlineStr"/>
      <c r="U4" s="9" t="inlineStr"/>
    </row>
    <row r="5" ht="45" customHeight="1">
      <c r="A5" s="7" t="inlineStr">
        <is>
          <t>CUR-004</t>
        </is>
      </c>
      <c r="B5" s="7" t="inlineStr">
        <is>
          <t>cerrar</t>
        </is>
      </c>
      <c r="C5" s="7" t="inlineStr">
        <is>
          <t>Colocar o modificar algo para evitar su apertura.</t>
        </is>
      </c>
      <c r="D5" s="7" t="inlineStr">
        <is>
          <t>Wikcionario</t>
        </is>
      </c>
      <c r="E5" s="7" t="inlineStr">
        <is>
          <t>Puedo relajar otra vez / Y bailar cuando cierro los ojos / Pensando en vos</t>
        </is>
      </c>
      <c r="F5" s="7" t="inlineStr">
        <is>
          <t>Puedo Sentirlo · David Lebón (1986)</t>
        </is>
      </c>
      <c r="G5" s="7" t="inlineStr">
        <is>
          <t>Solo la muerte esconde el ultimo latido debil de mi corazón / Cuando cerre mis manos / Me guarde estos recuerdos</t>
        </is>
      </c>
      <c r="H5" s="7" t="inlineStr">
        <is>
          <t>Reescribir Tragedias Sobre Libros Y Llamas · Dar Sangre (2008)</t>
        </is>
      </c>
      <c r="I5" s="9" t="inlineStr"/>
      <c r="J5" s="9" t="inlineStr"/>
      <c r="K5" s="9" t="inlineStr"/>
      <c r="L5" s="9" t="inlineStr"/>
      <c r="M5" s="9" t="inlineStr"/>
      <c r="N5" s="9" t="inlineStr"/>
      <c r="O5" s="9" t="inlineStr"/>
      <c r="P5" s="9" t="inlineStr"/>
      <c r="Q5" s="7">
        <f>IF(OR(J5="",N5=""),"",IF(J5=N5,"sí","no"))</f>
        <v/>
      </c>
      <c r="R5" s="7">
        <f>IF(OR(K5="",O5=""),"",IF(K5=O5,"sí","no"))</f>
        <v/>
      </c>
      <c r="S5" s="9" t="inlineStr"/>
      <c r="T5" s="9" t="inlineStr"/>
      <c r="U5" s="9" t="inlineStr"/>
    </row>
    <row r="6" ht="30" customHeight="1">
      <c r="A6" s="7" t="inlineStr">
        <is>
          <t>CUR-005</t>
        </is>
      </c>
      <c r="B6" s="7" t="inlineStr">
        <is>
          <t>botón</t>
        </is>
      </c>
      <c r="C6" s="7" t="inlineStr">
        <is>
          <t>Soplón, delator</t>
        </is>
      </c>
      <c r="D6" s="8" t="inlineStr">
        <is>
          <t>diccionarioargentino.com</t>
        </is>
      </c>
      <c r="E6" s="7" t="inlineStr">
        <is>
          <t>Que si en la calle me afila / Me pongo al lao del botón / ¡Lo que más bronca me da</t>
        </is>
      </c>
      <c r="F6" s="7" t="inlineStr">
        <is>
          <t>Chorra · Edmundo Rivero (1959)</t>
        </is>
      </c>
      <c r="G6" s="7" t="inlineStr">
        <is>
          <t>Y el fueye, es un bandoneón / El vigilante, un botón / La policía, la cana</t>
        </is>
      </c>
      <c r="H6" s="7" t="inlineStr">
        <is>
          <t>Milonga Lunfarda · Edmundo Rivero (1972)</t>
        </is>
      </c>
      <c r="I6" s="9" t="inlineStr"/>
      <c r="J6" s="9" t="inlineStr"/>
      <c r="K6" s="9" t="inlineStr"/>
      <c r="L6" s="9" t="inlineStr"/>
      <c r="M6" s="9" t="inlineStr"/>
      <c r="N6" s="9" t="inlineStr"/>
      <c r="O6" s="9" t="inlineStr"/>
      <c r="P6" s="9" t="inlineStr"/>
      <c r="Q6" s="7">
        <f>IF(OR(J6="",N6=""),"",IF(J6=N6,"sí","no"))</f>
        <v/>
      </c>
      <c r="R6" s="7">
        <f>IF(OR(K6="",O6=""),"",IF(K6=O6,"sí","no"))</f>
        <v/>
      </c>
      <c r="S6" s="9" t="inlineStr"/>
      <c r="T6" s="9" t="inlineStr"/>
      <c r="U6" s="9" t="inlineStr"/>
    </row>
    <row r="7" ht="45" customHeight="1">
      <c r="A7" s="7" t="inlineStr">
        <is>
          <t>CUR-006</t>
        </is>
      </c>
      <c r="B7" s="7" t="inlineStr">
        <is>
          <t>burra</t>
        </is>
      </c>
      <c r="C7" s="7" t="inlineStr">
        <is>
          <t>Forma villera de denominar la cola de una dama.</t>
        </is>
      </c>
      <c r="D7" s="8" t="inlineStr">
        <is>
          <t>diccionarioargentino.com</t>
        </is>
      </c>
      <c r="E7" s="7" t="inlineStr">
        <is>
          <t>Las pibita' me llaman, 'tamo' chelo / Me etiquetó en su burra, 'tamo' chelo / Ese gato hatea, 'tamo' chelo</t>
        </is>
      </c>
      <c r="F7" s="7" t="inlineStr">
        <is>
          <t>Tamo Chelo · El Noba (2021)</t>
        </is>
      </c>
      <c r="G7" s="7" t="inlineStr">
        <is>
          <t>¿Y ahora qué vamo' a hacer? / La baby lo mueve, qué burra, no sabés / Tiene flow, no hay compe (No hay compe)</t>
        </is>
      </c>
      <c r="H7" s="7" t="inlineStr">
        <is>
          <t>Del Año · El Noba (2021)</t>
        </is>
      </c>
      <c r="I7" s="9" t="inlineStr"/>
      <c r="J7" s="9" t="inlineStr"/>
      <c r="K7" s="9" t="inlineStr"/>
      <c r="L7" s="9" t="inlineStr"/>
      <c r="M7" s="9" t="inlineStr"/>
      <c r="N7" s="9" t="inlineStr"/>
      <c r="O7" s="9" t="inlineStr"/>
      <c r="P7" s="9" t="inlineStr"/>
      <c r="Q7" s="7">
        <f>IF(OR(J7="",N7=""),"",IF(J7=N7,"sí","no"))</f>
        <v/>
      </c>
      <c r="R7" s="7">
        <f>IF(OR(K7="",O7=""),"",IF(K7=O7,"sí","no"))</f>
        <v/>
      </c>
      <c r="S7" s="9" t="inlineStr"/>
      <c r="T7" s="9" t="inlineStr"/>
      <c r="U7" s="9" t="inlineStr"/>
    </row>
    <row r="8" ht="60" customHeight="1">
      <c r="A8" s="7" t="inlineStr">
        <is>
          <t>CUR-007</t>
        </is>
      </c>
      <c r="B8" s="7" t="inlineStr">
        <is>
          <t>gritar</t>
        </is>
      </c>
      <c r="C8" s="7" t="inlineStr">
        <is>
          <t>Hablar con la voz muy fuerte, para intimidar, alertar o comunicarse cuando el ruido de fondo impide la conversación normal.</t>
        </is>
      </c>
      <c r="D8" s="7" t="inlineStr">
        <is>
          <t>Wikcionario</t>
        </is>
      </c>
      <c r="E8" s="7" t="inlineStr">
        <is>
          <t>quieren montar como una puta encima de mi disco / Me gustaba escucharte gritar, bajaba to' el volumen / Bebiendo buena champaña y OG Kush pa' que</t>
        </is>
      </c>
      <c r="F8" s="7" t="inlineStr">
        <is>
          <t>Oye Baby · Zaramay (2020)</t>
        </is>
      </c>
      <c r="G8" s="7" t="inlineStr">
        <is>
          <t>Los que al mirar no se hacen / Ciegos por gritar / Sin pretender sen premiados</t>
        </is>
      </c>
      <c r="H8" s="7" t="inlineStr">
        <is>
          <t>Rugen Sus Voces · D-mente</t>
        </is>
      </c>
      <c r="I8" s="9" t="inlineStr"/>
      <c r="J8" s="9" t="inlineStr"/>
      <c r="K8" s="9" t="inlineStr"/>
      <c r="L8" s="9" t="inlineStr"/>
      <c r="M8" s="9" t="inlineStr"/>
      <c r="N8" s="9" t="inlineStr"/>
      <c r="O8" s="9" t="inlineStr"/>
      <c r="P8" s="9" t="inlineStr"/>
      <c r="Q8" s="7">
        <f>IF(OR(J8="",N8=""),"",IF(J8=N8,"sí","no"))</f>
        <v/>
      </c>
      <c r="R8" s="7">
        <f>IF(OR(K8="",O8=""),"",IF(K8=O8,"sí","no"))</f>
        <v/>
      </c>
      <c r="S8" s="9" t="inlineStr"/>
      <c r="T8" s="9" t="inlineStr"/>
      <c r="U8" s="9" t="inlineStr"/>
    </row>
    <row r="9" ht="120" customHeight="1">
      <c r="A9" s="7" t="inlineStr">
        <is>
          <t>CUR-008</t>
        </is>
      </c>
      <c r="B9" s="7" t="inlineStr">
        <is>
          <t>negro</t>
        </is>
      </c>
      <c r="C9" s="7" t="inlineStr">
        <is>
          <t>Se le adjudica la palabra negro, al ser humano que proviene, en su mayoría, de un lugar pobre, además de practicar el hurto como principal habilidad y otras, como atletismo (cuando roba y lo corren los vecinos o la yuta), salto (cuando va a robar a propiedades con paredes o rejas altas) y demás.</t>
        </is>
      </c>
      <c r="D9" s="8" t="inlineStr">
        <is>
          <t>diccionarioargentino.com</t>
        </is>
      </c>
      <c r="E9" s="7" t="inlineStr">
        <is>
          <t>suave murmullo de tu suspirar / Como ríe la vida si tus ojos negros me quieren mirar / Y si es mío el amparo de tu risa</t>
        </is>
      </c>
      <c r="F9" s="7" t="inlineStr">
        <is>
          <t>El Dia Que Me Quieras · Carlos Gardel (1934)</t>
        </is>
      </c>
      <c r="G9" s="7" t="inlineStr">
        <is>
          <t>es que se me hace irresistible / Recuerden no hablarle de trampa al negro más flexible (King) / La vida es una y la quiero vivi' a</t>
        </is>
      </c>
      <c r="H9" s="7" t="inlineStr">
        <is>
          <t>Nena · Zaramay (2018)</t>
        </is>
      </c>
      <c r="I9" s="9" t="inlineStr"/>
      <c r="J9" s="9" t="inlineStr"/>
      <c r="K9" s="9" t="inlineStr"/>
      <c r="L9" s="9" t="inlineStr"/>
      <c r="M9" s="9" t="inlineStr"/>
      <c r="N9" s="9" t="inlineStr"/>
      <c r="O9" s="9" t="inlineStr"/>
      <c r="P9" s="9" t="inlineStr"/>
      <c r="Q9" s="7">
        <f>IF(OR(J9="",N9=""),"",IF(J9=N9,"sí","no"))</f>
        <v/>
      </c>
      <c r="R9" s="7">
        <f>IF(OR(K9="",O9=""),"",IF(K9=O9,"sí","no"))</f>
        <v/>
      </c>
      <c r="S9" s="9" t="inlineStr"/>
      <c r="T9" s="9" t="inlineStr"/>
      <c r="U9" s="9" t="inlineStr"/>
    </row>
    <row r="10" ht="45" customHeight="1">
      <c r="A10" s="7" t="inlineStr">
        <is>
          <t>CUR-009</t>
        </is>
      </c>
      <c r="B10" s="7" t="inlineStr">
        <is>
          <t>timba</t>
        </is>
      </c>
      <c r="C10" s="7" t="inlineStr">
        <is>
          <t>Casa de juegos de azar o directamente jugar juegos de cartas</t>
        </is>
      </c>
      <c r="D10" s="8" t="inlineStr">
        <is>
          <t>diccionarioargentino.com</t>
        </is>
      </c>
      <c r="E10" s="7" t="inlineStr">
        <is>
          <t>Su boca de fuego, otra vez, quiero besar / Basta de carreras, se acabó la timba / Un final reñido yo no vuelvo a ver</t>
        </is>
      </c>
      <c r="F10" s="7" t="inlineStr">
        <is>
          <t>Por Una Cabeza · Carlos Gardel (1935)</t>
        </is>
      </c>
      <c r="G10" s="7" t="inlineStr">
        <is>
          <t>De sabihondos y suicidas / Yo aprendí filosofía, dados, timba... / Y la poesía cruel</t>
        </is>
      </c>
      <c r="H10" s="7" t="inlineStr">
        <is>
          <t>Cafetín de Buenos Aires · Edmundo Rivero (1959)</t>
        </is>
      </c>
      <c r="I10" s="9" t="inlineStr"/>
      <c r="J10" s="9" t="inlineStr"/>
      <c r="K10" s="9" t="inlineStr"/>
      <c r="L10" s="9" t="inlineStr"/>
      <c r="M10" s="9" t="inlineStr"/>
      <c r="N10" s="9" t="inlineStr"/>
      <c r="O10" s="9" t="inlineStr"/>
      <c r="P10" s="9" t="inlineStr"/>
      <c r="Q10" s="7">
        <f>IF(OR(J10="",N10=""),"",IF(J10=N10,"sí","no"))</f>
        <v/>
      </c>
      <c r="R10" s="7">
        <f>IF(OR(K10="",O10=""),"",IF(K10=O10,"sí","no"))</f>
        <v/>
      </c>
      <c r="S10" s="9" t="inlineStr"/>
      <c r="T10" s="9" t="inlineStr"/>
      <c r="U10" s="9" t="inlineStr"/>
    </row>
    <row r="11" ht="60" customHeight="1">
      <c r="A11" s="7" t="inlineStr">
        <is>
          <t>CUR-010</t>
        </is>
      </c>
      <c r="B11" s="7" t="inlineStr">
        <is>
          <t>pedazo</t>
        </is>
      </c>
      <c r="C11" s="7" t="inlineStr">
        <is>
          <t>Pene.</t>
        </is>
      </c>
      <c r="D11" s="7" t="inlineStr">
        <is>
          <t>Wikcionario</t>
        </is>
      </c>
      <c r="E11" s="7" t="inlineStr">
        <is>
          <t>Soportaré los golpes y jamás me rendiré / Y aunque los sueños se me rompan en pedazos / Resistiré, resistiré</t>
        </is>
      </c>
      <c r="F11" s="7" t="inlineStr">
        <is>
          <t>Resistiré (Versión Reggaetón) · Zulma Lobato (2009)</t>
        </is>
      </c>
      <c r="G11" s="7" t="inlineStr">
        <is>
          <t>Y en esa calle de estío, calle perdida / Dejó un pedazo de vida y se marchó / Primero hay que saber sufrir, después amar, después partir</t>
        </is>
      </c>
      <c r="H11" s="7" t="inlineStr">
        <is>
          <t>Naranjo en Flor · Roberto Goyeneche</t>
        </is>
      </c>
      <c r="I11" s="9" t="inlineStr"/>
      <c r="J11" s="9" t="inlineStr"/>
      <c r="K11" s="9" t="inlineStr"/>
      <c r="L11" s="9" t="inlineStr"/>
      <c r="M11" s="9" t="inlineStr"/>
      <c r="N11" s="9" t="inlineStr"/>
      <c r="O11" s="9" t="inlineStr"/>
      <c r="P11" s="9" t="inlineStr"/>
      <c r="Q11" s="7">
        <f>IF(OR(J11="",N11=""),"",IF(J11=N11,"sí","no"))</f>
        <v/>
      </c>
      <c r="R11" s="7">
        <f>IF(OR(K11="",O11=""),"",IF(K11=O11,"sí","no"))</f>
        <v/>
      </c>
      <c r="S11" s="9" t="inlineStr"/>
      <c r="T11" s="9" t="inlineStr"/>
      <c r="U11" s="9" t="inlineStr"/>
    </row>
    <row r="12" ht="60" customHeight="1">
      <c r="A12" s="7" t="inlineStr">
        <is>
          <t>CUR-011</t>
        </is>
      </c>
      <c r="B12" s="7" t="inlineStr">
        <is>
          <t>viejo</t>
        </is>
      </c>
      <c r="C12" s="7" t="inlineStr">
        <is>
          <t>Sinonimo de padre/papá en el lunfardo argentino.</t>
        </is>
      </c>
      <c r="D12" s="8" t="inlineStr">
        <is>
          <t>diccionarioargentino.com</t>
        </is>
      </c>
      <c r="E12" s="7" t="inlineStr">
        <is>
          <t>Ahora las palabras mas tristes tienen sentido para mi / Intente atravesar aquellos viejos puentes / Que destrui el día en que incendie mi vida</t>
        </is>
      </c>
      <c r="F12" s="7" t="inlineStr">
        <is>
          <t>Reescribir Tragedias Sobre Libros Y Llamas · Dar Sangre (2008)</t>
        </is>
      </c>
      <c r="G12" s="7" t="inlineStr">
        <is>
          <t>Aún se animan a jugar / Unos niños viejos / Gris atardecer</t>
        </is>
      </c>
      <c r="H12" s="7" t="inlineStr">
        <is>
          <t>Gris Atardecer · Los Visitantes (1994)</t>
        </is>
      </c>
      <c r="I12" s="9" t="inlineStr"/>
      <c r="J12" s="9" t="inlineStr"/>
      <c r="K12" s="9" t="inlineStr"/>
      <c r="L12" s="9" t="inlineStr"/>
      <c r="M12" s="9" t="inlineStr"/>
      <c r="N12" s="9" t="inlineStr"/>
      <c r="O12" s="9" t="inlineStr"/>
      <c r="P12" s="9" t="inlineStr"/>
      <c r="Q12" s="7">
        <f>IF(OR(J12="",N12=""),"",IF(J12=N12,"sí","no"))</f>
        <v/>
      </c>
      <c r="R12" s="7">
        <f>IF(OR(K12="",O12=""),"",IF(K12=O12,"sí","no"))</f>
        <v/>
      </c>
      <c r="S12" s="9" t="inlineStr"/>
      <c r="T12" s="9" t="inlineStr"/>
      <c r="U12" s="9" t="inlineStr"/>
    </row>
    <row r="13" ht="45" customHeight="1">
      <c r="A13" s="7" t="inlineStr">
        <is>
          <t>CUR-012</t>
        </is>
      </c>
      <c r="B13" s="7" t="inlineStr">
        <is>
          <t>cocinar</t>
        </is>
      </c>
      <c r="C13" s="7" t="inlineStr">
        <is>
          <t>Ponerse de acuerdo un grupo de personas a espaldas de los demás.</t>
        </is>
      </c>
      <c r="D13" s="7" t="inlineStr">
        <is>
          <t>Wikcionario</t>
        </is>
      </c>
      <c r="E13" s="7" t="inlineStr">
        <is>
          <t>Missy en la espalda como una espada de grill (Yeah) / Tengo la cocina cerra'íta para mí / Whats up, mina? (Yo, yo, ah) Work it, hace</t>
        </is>
      </c>
      <c r="F13" s="7" t="inlineStr">
        <is>
          <t>KAMIKAZE · Sofía Gabanna (2023)</t>
        </is>
      </c>
      <c r="G13" s="7" t="inlineStr">
        <is>
          <t>reina, por eso un rey a tu lado / Una noche que te cocine, unos nachos en el cine / Pero con una palabra hace que el</t>
        </is>
      </c>
      <c r="H13" s="7" t="inlineStr">
        <is>
          <t>Oye Baby · Zaramay (2020)</t>
        </is>
      </c>
      <c r="I13" s="9" t="inlineStr"/>
      <c r="J13" s="9" t="inlineStr"/>
      <c r="K13" s="9" t="inlineStr"/>
      <c r="L13" s="9" t="inlineStr"/>
      <c r="M13" s="9" t="inlineStr"/>
      <c r="N13" s="9" t="inlineStr"/>
      <c r="O13" s="9" t="inlineStr"/>
      <c r="P13" s="9" t="inlineStr"/>
      <c r="Q13" s="7">
        <f>IF(OR(J13="",N13=""),"",IF(J13=N13,"sí","no"))</f>
        <v/>
      </c>
      <c r="R13" s="7">
        <f>IF(OR(K13="",O13=""),"",IF(K13=O13,"sí","no"))</f>
        <v/>
      </c>
      <c r="S13" s="9" t="inlineStr"/>
      <c r="T13" s="9" t="inlineStr"/>
      <c r="U13" s="9" t="inlineStr"/>
    </row>
    <row r="14" ht="60" customHeight="1">
      <c r="A14" s="7" t="inlineStr">
        <is>
          <t>CUR-013</t>
        </is>
      </c>
      <c r="B14" s="7" t="inlineStr">
        <is>
          <t>pico</t>
        </is>
      </c>
      <c r="C14" s="7" t="inlineStr">
        <is>
          <t>En Argentina, dícese que significa o representa, la accion humana de indole apareamental entre humanos, comunmente denominada "beso".</t>
        </is>
      </c>
      <c r="D14" s="8" t="inlineStr">
        <is>
          <t>diccionarioargentino.com</t>
        </is>
      </c>
      <c r="E14" s="7" t="inlineStr">
        <is>
          <t>Todo' los pibito' fumando del rico / Toda' esa' bandida' quieren darme un pico / Por allá el machimbre parece milico</t>
        </is>
      </c>
      <c r="F14" s="7" t="inlineStr">
        <is>
          <t>Tamo Chelo · El Noba (2021)</t>
        </is>
      </c>
      <c r="G14" s="7" t="inlineStr">
        <is>
          <t>Un bicho gordo como un salchichón / Dice “qué rico” y abriendo el pico / Pesca al perrito como un camarón</t>
        </is>
      </c>
      <c r="H14" s="7" t="inlineStr">
        <is>
          <t>El Show Del Perro Salchicha · María Elena Walsh (1966)</t>
        </is>
      </c>
      <c r="I14" s="9" t="inlineStr"/>
      <c r="J14" s="9" t="inlineStr"/>
      <c r="K14" s="9" t="inlineStr"/>
      <c r="L14" s="9" t="inlineStr"/>
      <c r="M14" s="9" t="inlineStr"/>
      <c r="N14" s="9" t="inlineStr"/>
      <c r="O14" s="9" t="inlineStr"/>
      <c r="P14" s="9" t="inlineStr"/>
      <c r="Q14" s="7">
        <f>IF(OR(J14="",N14=""),"",IF(J14=N14,"sí","no"))</f>
        <v/>
      </c>
      <c r="R14" s="7">
        <f>IF(OR(K14="",O14=""),"",IF(K14=O14,"sí","no"))</f>
        <v/>
      </c>
      <c r="S14" s="9" t="inlineStr"/>
      <c r="T14" s="9" t="inlineStr"/>
      <c r="U14" s="9" t="inlineStr"/>
    </row>
    <row r="15" ht="30" customHeight="1">
      <c r="A15" s="7" t="inlineStr">
        <is>
          <t>CUR-014</t>
        </is>
      </c>
      <c r="B15" s="7" t="inlineStr">
        <is>
          <t>cana</t>
        </is>
      </c>
      <c r="C15" s="7" t="inlineStr">
        <is>
          <t>Refiriéndose a la policia, a ir detenido a la comisaria o prisión.</t>
        </is>
      </c>
      <c r="D15" s="8" t="inlineStr">
        <is>
          <t>diccionarioargentino.com</t>
        </is>
      </c>
      <c r="E15" s="7" t="inlineStr">
        <is>
          <t>Que se nos cruza en la vida / Por vos he morfao más canas / Que pelos tengo en el mate</t>
        </is>
      </c>
      <c r="F15" s="7" t="inlineStr">
        <is>
          <t>Apología del Tango · Tita Merello (1969)</t>
        </is>
      </c>
      <c r="G15" s="7" t="inlineStr">
        <is>
          <t>Como me engrupiste vos / Está en cana, prontuariado / Como agente 'e la camorra</t>
        </is>
      </c>
      <c r="H15" s="7" t="inlineStr">
        <is>
          <t>Chorra · Edmundo Rivero (1959)</t>
        </is>
      </c>
      <c r="I15" s="9" t="inlineStr"/>
      <c r="J15" s="9" t="inlineStr"/>
      <c r="K15" s="9" t="inlineStr"/>
      <c r="L15" s="9" t="inlineStr"/>
      <c r="M15" s="9" t="inlineStr"/>
      <c r="N15" s="9" t="inlineStr"/>
      <c r="O15" s="9" t="inlineStr"/>
      <c r="P15" s="9" t="inlineStr"/>
      <c r="Q15" s="7">
        <f>IF(OR(J15="",N15=""),"",IF(J15=N15,"sí","no"))</f>
        <v/>
      </c>
      <c r="R15" s="7">
        <f>IF(OR(K15="",O15=""),"",IF(K15=O15,"sí","no"))</f>
        <v/>
      </c>
      <c r="S15" s="9" t="inlineStr"/>
      <c r="T15" s="9" t="inlineStr"/>
      <c r="U15" s="9" t="inlineStr"/>
    </row>
    <row r="16" ht="45" customHeight="1">
      <c r="A16" s="7" t="inlineStr">
        <is>
          <t>CUR-015</t>
        </is>
      </c>
      <c r="B16" s="7" t="inlineStr">
        <is>
          <t>papa</t>
        </is>
      </c>
      <c r="C16" s="7" t="inlineStr">
        <is>
          <t>Que algo es muy fácil o sencillo</t>
        </is>
      </c>
      <c r="D16" s="8" t="inlineStr">
        <is>
          <t>diccionarioargentino.com</t>
        </is>
      </c>
      <c r="E16" s="7" t="inlineStr">
        <is>
          <t>Mina que fue en otros tiempos, la más papa milonguera / Y en esas noches tangueras, fue la reina del festín</t>
        </is>
      </c>
      <c r="F16" s="7" t="inlineStr">
        <is>
          <t>El Motivo · Roberto Goyeneche</t>
        </is>
      </c>
      <c r="G16" s="7" t="inlineStr"/>
      <c r="H16" s="7" t="inlineStr"/>
      <c r="I16" s="9" t="inlineStr"/>
      <c r="J16" s="9" t="inlineStr"/>
      <c r="K16" s="9" t="inlineStr"/>
      <c r="L16" s="9" t="inlineStr"/>
      <c r="M16" s="9" t="inlineStr"/>
      <c r="N16" s="9" t="inlineStr"/>
      <c r="O16" s="9" t="inlineStr"/>
      <c r="P16" s="9" t="inlineStr"/>
      <c r="Q16" s="7">
        <f>IF(OR(J16="",N16=""),"",IF(J16=N16,"sí","no"))</f>
        <v/>
      </c>
      <c r="R16" s="7">
        <f>IF(OR(K16="",O16=""),"",IF(K16=O16,"sí","no"))</f>
        <v/>
      </c>
      <c r="S16" s="9" t="inlineStr"/>
      <c r="T16" s="9" t="inlineStr"/>
      <c r="U16" s="9" t="inlineStr"/>
    </row>
    <row r="17" ht="45" customHeight="1">
      <c r="A17" s="7" t="inlineStr">
        <is>
          <t>CUR-016</t>
        </is>
      </c>
      <c r="B17" s="7" t="inlineStr">
        <is>
          <t>malevo</t>
        </is>
      </c>
      <c r="C17" s="7" t="inlineStr">
        <is>
          <t>Vulgar, propio del arrabal.</t>
        </is>
      </c>
      <c r="D17" s="7" t="inlineStr">
        <is>
          <t>Wikcionario</t>
        </is>
      </c>
      <c r="E17" s="7" t="inlineStr">
        <is>
          <t>Se dice de mí / Se dice que soy fiera, que camino a lo malevo / Que soy chueca y que me muevo con un aire compadrón</t>
        </is>
      </c>
      <c r="F17" s="7" t="inlineStr">
        <is>
          <t>Se Dice de Mí · Tita Merello (1955)</t>
        </is>
      </c>
      <c r="G17" s="7" t="inlineStr">
        <is>
          <t>Nacido en los suburbios / Malevos y turbios / Hoy</t>
        </is>
      </c>
      <c r="H17" s="7" t="inlineStr">
        <is>
          <t>Yo soy el tango · Miguel Caló</t>
        </is>
      </c>
      <c r="I17" s="9" t="inlineStr"/>
      <c r="J17" s="9" t="inlineStr"/>
      <c r="K17" s="9" t="inlineStr"/>
      <c r="L17" s="9" t="inlineStr"/>
      <c r="M17" s="9" t="inlineStr"/>
      <c r="N17" s="9" t="inlineStr"/>
      <c r="O17" s="9" t="inlineStr"/>
      <c r="P17" s="9" t="inlineStr"/>
      <c r="Q17" s="7">
        <f>IF(OR(J17="",N17=""),"",IF(J17=N17,"sí","no"))</f>
        <v/>
      </c>
      <c r="R17" s="7">
        <f>IF(OR(K17="",O17=""),"",IF(K17=O17,"sí","no"))</f>
        <v/>
      </c>
      <c r="S17" s="9" t="inlineStr"/>
      <c r="T17" s="9" t="inlineStr"/>
      <c r="U17" s="9" t="inlineStr"/>
    </row>
    <row r="18" ht="30" customHeight="1">
      <c r="A18" s="7" t="inlineStr">
        <is>
          <t>CUR-017</t>
        </is>
      </c>
      <c r="B18" s="7" t="inlineStr">
        <is>
          <t>gil</t>
        </is>
      </c>
      <c r="C18" s="7" t="inlineStr">
        <is>
          <t>Insulto a una persona que no cumple lo pautado o no tiene códigos</t>
        </is>
      </c>
      <c r="D18" s="8" t="inlineStr">
        <is>
          <t>diccionarioargentino.com</t>
        </is>
      </c>
      <c r="E18" s="7" t="inlineStr">
        <is>
          <t>En el amor yo solo sé / Que a más de un gil dejé de a pie / Podrán decir, podrán hablar</t>
        </is>
      </c>
      <c r="F18" s="7" t="inlineStr">
        <is>
          <t>Se Dice de Mí · Tita Merello (1955)</t>
        </is>
      </c>
      <c r="G18" s="7" t="inlineStr">
        <is>
          <t>¡Lo que más bronca me da / Es haber estao' tan gil! / Si hace un mes me desayuno</t>
        </is>
      </c>
      <c r="H18" s="7" t="inlineStr">
        <is>
          <t>Chorra · Edmundo Rivero (1959)</t>
        </is>
      </c>
      <c r="I18" s="9" t="inlineStr"/>
      <c r="J18" s="9" t="inlineStr"/>
      <c r="K18" s="9" t="inlineStr"/>
      <c r="L18" s="9" t="inlineStr"/>
      <c r="M18" s="9" t="inlineStr"/>
      <c r="N18" s="9" t="inlineStr"/>
      <c r="O18" s="9" t="inlineStr"/>
      <c r="P18" s="9" t="inlineStr"/>
      <c r="Q18" s="7">
        <f>IF(OR(J18="",N18=""),"",IF(J18=N18,"sí","no"))</f>
        <v/>
      </c>
      <c r="R18" s="7">
        <f>IF(OR(K18="",O18=""),"",IF(K18=O18,"sí","no"))</f>
        <v/>
      </c>
      <c r="S18" s="9" t="inlineStr"/>
      <c r="T18" s="9" t="inlineStr"/>
      <c r="U18" s="9" t="inlineStr"/>
    </row>
    <row r="19" ht="60" customHeight="1">
      <c r="A19" s="7" t="inlineStr">
        <is>
          <t>CUR-018</t>
        </is>
      </c>
      <c r="B19" s="7" t="inlineStr">
        <is>
          <t>bailar</t>
        </is>
      </c>
      <c r="C19" s="7" t="inlineStr">
        <is>
          <t>Derrotar contundentemente.</t>
        </is>
      </c>
      <c r="D19" s="7" t="inlineStr">
        <is>
          <t>Wikcionario</t>
        </is>
      </c>
      <c r="E19" s="7" t="inlineStr">
        <is>
          <t>Y yo les doy mi corazón / Bailando hasta tu aparición / Sentir que flotas junto a mí</t>
        </is>
      </c>
      <c r="F19" s="7" t="inlineStr">
        <is>
          <t>Señorita Corazón · María Gabriela Epumer (1998)</t>
        </is>
      </c>
      <c r="G19" s="7" t="inlineStr">
        <is>
          <t>del frutero de la esquina me tiran azahares / Vení, que así medio bailando y medio volando / Me saco el melón para saludarte, te regalo una</t>
        </is>
      </c>
      <c r="H19" s="7" t="inlineStr">
        <is>
          <t>Balada Para un Loco · Roberto Goyeneche (1969)</t>
        </is>
      </c>
      <c r="I19" s="9" t="inlineStr"/>
      <c r="J19" s="9" t="inlineStr"/>
      <c r="K19" s="9" t="inlineStr"/>
      <c r="L19" s="9" t="inlineStr"/>
      <c r="M19" s="9" t="inlineStr"/>
      <c r="N19" s="9" t="inlineStr"/>
      <c r="O19" s="9" t="inlineStr"/>
      <c r="P19" s="9" t="inlineStr"/>
      <c r="Q19" s="7">
        <f>IF(OR(J19="",N19=""),"",IF(J19=N19,"sí","no"))</f>
        <v/>
      </c>
      <c r="R19" s="7">
        <f>IF(OR(K19="",O19=""),"",IF(K19=O19,"sí","no"))</f>
        <v/>
      </c>
      <c r="S19" s="9" t="inlineStr"/>
      <c r="T19" s="9" t="inlineStr"/>
      <c r="U19" s="9" t="inlineStr"/>
    </row>
    <row r="20" ht="45" customHeight="1">
      <c r="A20" s="7" t="inlineStr">
        <is>
          <t>CUR-019</t>
        </is>
      </c>
      <c r="B20" s="7" t="inlineStr">
        <is>
          <t>pobre</t>
        </is>
      </c>
      <c r="C20" s="7" t="inlineStr">
        <is>
          <t>Que tiene pocos bienes materiales.</t>
        </is>
      </c>
      <c r="D20" s="7" t="inlineStr">
        <is>
          <t>Wikcionario</t>
        </is>
      </c>
      <c r="E20" s="7" t="inlineStr">
        <is>
          <t>ahí que tenerla presente / Muchas te amarán siendo rico y pocas siendo pobre, fuck (Ey) / Si lo que yo hago yo no lo pueden hacer</t>
        </is>
      </c>
      <c r="F20" s="7" t="inlineStr">
        <is>
          <t>Nena · Zaramay (2018)</t>
        </is>
      </c>
      <c r="G20" s="7" t="inlineStr">
        <is>
          <t>Se van al sobre, yo no sobro (No sobro) / De pobre a rico como Rondo (Rondo) / Ya me conocen como el monstruo</t>
        </is>
      </c>
      <c r="H20" s="7" t="inlineStr">
        <is>
          <t>Hello Cotto · Duki (2017)</t>
        </is>
      </c>
      <c r="I20" s="9" t="inlineStr"/>
      <c r="J20" s="9" t="inlineStr"/>
      <c r="K20" s="9" t="inlineStr"/>
      <c r="L20" s="9" t="inlineStr"/>
      <c r="M20" s="9" t="inlineStr"/>
      <c r="N20" s="9" t="inlineStr"/>
      <c r="O20" s="9" t="inlineStr"/>
      <c r="P20" s="9" t="inlineStr"/>
      <c r="Q20" s="7">
        <f>IF(OR(J20="",N20=""),"",IF(J20=N20,"sí","no"))</f>
        <v/>
      </c>
      <c r="R20" s="7">
        <f>IF(OR(K20="",O20=""),"",IF(K20=O20,"sí","no"))</f>
        <v/>
      </c>
      <c r="S20" s="9" t="inlineStr"/>
      <c r="T20" s="9" t="inlineStr"/>
      <c r="U20" s="9" t="inlineStr"/>
    </row>
    <row r="21" ht="30" customHeight="1">
      <c r="A21" s="7" t="inlineStr">
        <is>
          <t>CUR-020</t>
        </is>
      </c>
      <c r="B21" s="7" t="inlineStr">
        <is>
          <t>cotorro</t>
        </is>
      </c>
      <c r="C21" s="7" t="inlineStr">
        <is>
          <t>Inmueble o habitación destinada para encuentros amorosos clandestinos.</t>
        </is>
      </c>
      <c r="D21" s="7" t="inlineStr">
        <is>
          <t>Wikcionario</t>
        </is>
      </c>
      <c r="E21" s="7" t="inlineStr">
        <is>
          <t>Agarrar lo que está hecho / El cotorro es el lugar / Donde se hace el amor</t>
        </is>
      </c>
      <c r="F21" s="7" t="inlineStr">
        <is>
          <t>Milonga Lunfarda · Edmundo Rivero (1972)</t>
        </is>
      </c>
      <c r="G21" s="7" t="inlineStr">
        <is>
          <t>Pa' olvidarme de tu amor / Cuando voy a mi cotorro / Y lo veo desarreglado</t>
        </is>
      </c>
      <c r="H21" s="7" t="inlineStr">
        <is>
          <t>Mi noche triste · Carlos Gardel (1917)</t>
        </is>
      </c>
      <c r="I21" s="9" t="inlineStr"/>
      <c r="J21" s="9" t="inlineStr"/>
      <c r="K21" s="9" t="inlineStr"/>
      <c r="L21" s="9" t="inlineStr"/>
      <c r="M21" s="9" t="inlineStr"/>
      <c r="N21" s="9" t="inlineStr"/>
      <c r="O21" s="9" t="inlineStr"/>
      <c r="P21" s="9" t="inlineStr"/>
      <c r="Q21" s="7">
        <f>IF(OR(J21="",N21=""),"",IF(J21=N21,"sí","no"))</f>
        <v/>
      </c>
      <c r="R21" s="7">
        <f>IF(OR(K21="",O21=""),"",IF(K21=O21,"sí","no"))</f>
        <v/>
      </c>
      <c r="S21" s="9" t="inlineStr"/>
      <c r="T21" s="9" t="inlineStr"/>
      <c r="U21" s="9" t="inlineStr"/>
    </row>
    <row r="22" ht="45" customHeight="1">
      <c r="A22" s="7" t="inlineStr">
        <is>
          <t>CUR-021</t>
        </is>
      </c>
      <c r="B22" s="7" t="inlineStr">
        <is>
          <t>llenar</t>
        </is>
      </c>
      <c r="C22" s="7" t="inlineStr">
        <is>
          <t>to bother, to tire</t>
        </is>
      </c>
      <c r="D22" s="7" t="inlineStr">
        <is>
          <t>Wiktionary (en inglés)</t>
        </is>
      </c>
      <c r="E22" s="7" t="inlineStr">
        <is>
          <t>Por caminos que no traen mas que problemas / Y hacen que su corazón, se llene de pena / Él dejó sus mandamientos para cumplir</t>
        </is>
      </c>
      <c r="F22" s="7" t="inlineStr">
        <is>
          <t>Sinceridad · Rabito (1999)</t>
        </is>
      </c>
      <c r="G22" s="7" t="inlineStr">
        <is>
          <t>Y he sabido que el “guerrero” / Que murió lleno de honor / Ni murió ni fue guerrero</t>
        </is>
      </c>
      <c r="H22" s="7" t="inlineStr">
        <is>
          <t>Chorra · Edmundo Rivero (1959)</t>
        </is>
      </c>
      <c r="I22" s="9" t="inlineStr"/>
      <c r="J22" s="9" t="inlineStr"/>
      <c r="K22" s="9" t="inlineStr"/>
      <c r="L22" s="9" t="inlineStr"/>
      <c r="M22" s="9" t="inlineStr"/>
      <c r="N22" s="9" t="inlineStr"/>
      <c r="O22" s="9" t="inlineStr"/>
      <c r="P22" s="9" t="inlineStr"/>
      <c r="Q22" s="7">
        <f>IF(OR(J22="",N22=""),"",IF(J22=N22,"sí","no"))</f>
        <v/>
      </c>
      <c r="R22" s="7">
        <f>IF(OR(K22="",O22=""),"",IF(K22=O22,"sí","no"))</f>
        <v/>
      </c>
      <c r="S22" s="9" t="inlineStr"/>
      <c r="T22" s="9" t="inlineStr"/>
      <c r="U22" s="9" t="inlineStr"/>
    </row>
    <row r="23" ht="45" customHeight="1">
      <c r="A23" s="7" t="inlineStr">
        <is>
          <t>CUR-022</t>
        </is>
      </c>
      <c r="B23" s="7" t="inlineStr">
        <is>
          <t>ojo</t>
        </is>
      </c>
      <c r="C23" s="7" t="inlineStr">
        <is>
          <t>Termini utilizado para advertir a alguien que tenga cuidado</t>
        </is>
      </c>
      <c r="D23" s="8" t="inlineStr">
        <is>
          <t>diccionarioargentino.com</t>
        </is>
      </c>
      <c r="E23" s="7" t="inlineStr">
        <is>
          <t>Puedo relajar otra vez / Y bailar cuando cierro los ojos / Pensando en vos</t>
        </is>
      </c>
      <c r="F23" s="7" t="inlineStr">
        <is>
          <t>Puedo Sentirlo · David Lebón (1986)</t>
        </is>
      </c>
      <c r="G23" s="7" t="inlineStr">
        <is>
          <t>Lo que sentiría cerca de ti / Te miré a los ojos, te dije, sonriendo / "Qué chica más linda que venden aquí"</t>
        </is>
      </c>
      <c r="H23" s="7" t="inlineStr">
        <is>
          <t>La Chica de la Boutique · Heleno (1971)</t>
        </is>
      </c>
      <c r="I23" s="9" t="inlineStr"/>
      <c r="J23" s="9" t="inlineStr"/>
      <c r="K23" s="9" t="inlineStr"/>
      <c r="L23" s="9" t="inlineStr"/>
      <c r="M23" s="9" t="inlineStr"/>
      <c r="N23" s="9" t="inlineStr"/>
      <c r="O23" s="9" t="inlineStr"/>
      <c r="P23" s="9" t="inlineStr"/>
      <c r="Q23" s="7">
        <f>IF(OR(J23="",N23=""),"",IF(J23=N23,"sí","no"))</f>
        <v/>
      </c>
      <c r="R23" s="7">
        <f>IF(OR(K23="",O23=""),"",IF(K23=O23,"sí","no"))</f>
        <v/>
      </c>
      <c r="S23" s="9" t="inlineStr"/>
      <c r="T23" s="9" t="inlineStr"/>
      <c r="U23" s="9" t="inlineStr"/>
    </row>
    <row r="24" ht="75" customHeight="1">
      <c r="A24" s="7" t="inlineStr">
        <is>
          <t>CUR-023</t>
        </is>
      </c>
      <c r="B24" s="7" t="inlineStr">
        <is>
          <t>pendejo</t>
        </is>
      </c>
      <c r="C24" s="7" t="inlineStr">
        <is>
          <t>1 Usado para describir a alguien joven (Pendejo significa realmente pelo del pubis) 2 Usado a veces para describir a persona despectivamente a  alguien medio tonto.</t>
        </is>
      </c>
      <c r="D24" s="8" t="inlineStr">
        <is>
          <t>diccionarioargentino.com</t>
        </is>
      </c>
      <c r="E24" s="7" t="inlineStr">
        <is>
          <t>El día que muera, moriré en mi ley, ah / Una pendeja egoísta, un poco masoquista / Su familia es cheta, sus papás son macristas</t>
        </is>
      </c>
      <c r="F24" s="7" t="inlineStr">
        <is>
          <t>Buenos tiempos · Dillom (2024)</t>
        </is>
      </c>
      <c r="G24" s="7" t="inlineStr">
        <is>
          <t>Me jode / Lejos del complejo de pendejos que la soben / Ven un lazo con el viejo rap, entonces no lo roben</t>
        </is>
      </c>
      <c r="H24" s="7" t="inlineStr">
        <is>
          <t>Oro Puro · 808god (2020)</t>
        </is>
      </c>
      <c r="I24" s="9" t="inlineStr"/>
      <c r="J24" s="9" t="inlineStr"/>
      <c r="K24" s="9" t="inlineStr"/>
      <c r="L24" s="9" t="inlineStr"/>
      <c r="M24" s="9" t="inlineStr"/>
      <c r="N24" s="9" t="inlineStr"/>
      <c r="O24" s="9" t="inlineStr"/>
      <c r="P24" s="9" t="inlineStr"/>
      <c r="Q24" s="7">
        <f>IF(OR(J24="",N24=""),"",IF(J24=N24,"sí","no"))</f>
        <v/>
      </c>
      <c r="R24" s="7">
        <f>IF(OR(K24="",O24=""),"",IF(K24=O24,"sí","no"))</f>
        <v/>
      </c>
      <c r="S24" s="9" t="inlineStr"/>
      <c r="T24" s="9" t="inlineStr"/>
      <c r="U24" s="9" t="inlineStr"/>
    </row>
    <row r="25" ht="45" customHeight="1">
      <c r="A25" s="7" t="inlineStr">
        <is>
          <t>CUR-024</t>
        </is>
      </c>
      <c r="B25" s="7" t="inlineStr">
        <is>
          <t>rara</t>
        </is>
      </c>
      <c r="C25" s="7" t="inlineStr">
        <is>
          <t>Rufous-tailed plantcutter (Phytotoma rara)</t>
        </is>
      </c>
      <c r="D25" s="7" t="inlineStr">
        <is>
          <t>Wiktionary (en inglés)</t>
        </is>
      </c>
      <c r="E25" s="7" t="inlineStr">
        <is>
          <t>Esos tacos de donde han salido / Hay que rara te veo mi niña / Si tu madre se entera verás</t>
        </is>
      </c>
      <c r="F25" s="7" t="inlineStr">
        <is>
          <t>El tiempo pasa y se va · Carlos Javier Beltrán (1982)</t>
        </is>
      </c>
      <c r="G25" s="7" t="inlineStr">
        <is>
          <t>Cuando de repente, de atrás de un árbol, me aparezco yo / Mezcla rara de penúltimo linyera y de primer polizonte en el viaje a Venus</t>
        </is>
      </c>
      <c r="H25" s="7" t="inlineStr">
        <is>
          <t>Balada Para un Loco · Roberto Goyeneche (1969)</t>
        </is>
      </c>
      <c r="I25" s="9" t="inlineStr"/>
      <c r="J25" s="9" t="inlineStr"/>
      <c r="K25" s="9" t="inlineStr"/>
      <c r="L25" s="9" t="inlineStr"/>
      <c r="M25" s="9" t="inlineStr"/>
      <c r="N25" s="9" t="inlineStr"/>
      <c r="O25" s="9" t="inlineStr"/>
      <c r="P25" s="9" t="inlineStr"/>
      <c r="Q25" s="7">
        <f>IF(OR(J25="",N25=""),"",IF(J25=N25,"sí","no"))</f>
        <v/>
      </c>
      <c r="R25" s="7">
        <f>IF(OR(K25="",O25=""),"",IF(K25=O25,"sí","no"))</f>
        <v/>
      </c>
      <c r="S25" s="9" t="inlineStr"/>
      <c r="T25" s="9" t="inlineStr"/>
      <c r="U25" s="9" t="inlineStr"/>
    </row>
    <row r="26" ht="60" customHeight="1">
      <c r="A26" s="7" t="inlineStr">
        <is>
          <t>CUR-025</t>
        </is>
      </c>
      <c r="B26" s="7" t="inlineStr">
        <is>
          <t>deje</t>
        </is>
      </c>
      <c r="C26" s="7" t="inlineStr">
        <is>
          <t>•Cuando una persona está muy apurada y va con prisa.</t>
        </is>
      </c>
      <c r="D26" s="8" t="inlineStr">
        <is>
          <t>diccionarioargentino.com</t>
        </is>
      </c>
      <c r="E26" s="7" t="inlineStr">
        <is>
          <t>Que mas puedo hacer cuando deje mi vida y a cambio recibi estas heridas / Solo la muerte esconde el ultimo latido debil de mi corazón</t>
        </is>
      </c>
      <c r="F26" s="7" t="inlineStr">
        <is>
          <t>Reescribir Tragedias Sobre Libros Y Llamas · Dar Sangre (2008)</t>
        </is>
      </c>
      <c r="G26" s="7" t="inlineStr">
        <is>
          <t>Cuando se me cierren las salidas / Y la noche no me deje en paz / Cuando sienta miedo del silencio</t>
        </is>
      </c>
      <c r="H26" s="7" t="inlineStr">
        <is>
          <t>Resistiré (Versión Reggaetón) · Zulma Lobato (2009)</t>
        </is>
      </c>
      <c r="I26" s="9" t="inlineStr"/>
      <c r="J26" s="9" t="inlineStr"/>
      <c r="K26" s="9" t="inlineStr"/>
      <c r="L26" s="9" t="inlineStr"/>
      <c r="M26" s="9" t="inlineStr"/>
      <c r="N26" s="9" t="inlineStr"/>
      <c r="O26" s="9" t="inlineStr"/>
      <c r="P26" s="9" t="inlineStr"/>
      <c r="Q26" s="7">
        <f>IF(OR(J26="",N26=""),"",IF(J26=N26,"sí","no"))</f>
        <v/>
      </c>
      <c r="R26" s="7">
        <f>IF(OR(K26="",O26=""),"",IF(K26=O26,"sí","no"))</f>
        <v/>
      </c>
      <c r="S26" s="9" t="inlineStr"/>
      <c r="T26" s="9" t="inlineStr"/>
      <c r="U26" s="9" t="inlineStr"/>
    </row>
    <row r="27" ht="45" customHeight="1">
      <c r="A27" s="7" t="inlineStr">
        <is>
          <t>CUR-026</t>
        </is>
      </c>
      <c r="B27" s="7" t="inlineStr">
        <is>
          <t>viste</t>
        </is>
      </c>
      <c r="C27" s="7" t="inlineStr">
        <is>
          <t>you know; used as a space filler, usually in the middle of a sentence, or when telling a story</t>
        </is>
      </c>
      <c r="D27" s="7" t="inlineStr">
        <is>
          <t>Wiktionary (en inglés)</t>
        </is>
      </c>
      <c r="E27" s="7" t="inlineStr">
        <is>
          <t>Las tardecitas de Buenos Aires tiene ese qué sé yo, ¿viste? / Salís de tu casa por Arenales, lo de siempre en la calle y en</t>
        </is>
      </c>
      <c r="F27" s="7" t="inlineStr">
        <is>
          <t>Balada Para un Loco · Roberto Goyeneche (1969)</t>
        </is>
      </c>
      <c r="G27" s="7" t="inlineStr"/>
      <c r="H27" s="7" t="inlineStr"/>
      <c r="I27" s="9" t="inlineStr"/>
      <c r="J27" s="9" t="inlineStr"/>
      <c r="K27" s="9" t="inlineStr"/>
      <c r="L27" s="9" t="inlineStr"/>
      <c r="M27" s="9" t="inlineStr"/>
      <c r="N27" s="9" t="inlineStr"/>
      <c r="O27" s="9" t="inlineStr"/>
      <c r="P27" s="9" t="inlineStr"/>
      <c r="Q27" s="7">
        <f>IF(OR(J27="",N27=""),"",IF(J27=N27,"sí","no"))</f>
        <v/>
      </c>
      <c r="R27" s="7">
        <f>IF(OR(K27="",O27=""),"",IF(K27=O27,"sí","no"))</f>
        <v/>
      </c>
      <c r="S27" s="9" t="inlineStr"/>
      <c r="T27" s="9" t="inlineStr"/>
      <c r="U27" s="9" t="inlineStr"/>
    </row>
    <row r="28" ht="45" customHeight="1">
      <c r="A28" s="7" t="inlineStr">
        <is>
          <t>CUR-027</t>
        </is>
      </c>
      <c r="B28" s="7" t="inlineStr">
        <is>
          <t>flor</t>
        </is>
      </c>
      <c r="C28" s="7" t="inlineStr">
        <is>
          <t>Pieza móvil o fija, situada al final de una cañería de agua, a través de cuyos agujeros sale el agua de la ducha.</t>
        </is>
      </c>
      <c r="D28" s="7" t="inlineStr">
        <is>
          <t>Wikcionario</t>
        </is>
      </c>
      <c r="E28" s="7" t="inlineStr">
        <is>
          <t>La luz de todos los colores, cantando / El color de una piel y de una flor / Una guitarra y tu voz</t>
        </is>
      </c>
      <c r="F28" s="7" t="inlineStr">
        <is>
          <t>Estaré · Los Visitantes (1996)</t>
        </is>
      </c>
      <c r="G28" s="7" t="inlineStr">
        <is>
          <t>Abre la Tierra el sonido y tu voz / Son bienvenidos tu fruto y tu flor / ¿Dónde has llegado? Ven a explorar</t>
        </is>
      </c>
      <c r="H28" s="7" t="inlineStr">
        <is>
          <t>Princesa Cristal · Lito Epumer (2004)</t>
        </is>
      </c>
      <c r="I28" s="9" t="inlineStr"/>
      <c r="J28" s="9" t="inlineStr"/>
      <c r="K28" s="9" t="inlineStr"/>
      <c r="L28" s="9" t="inlineStr"/>
      <c r="M28" s="9" t="inlineStr"/>
      <c r="N28" s="9" t="inlineStr"/>
      <c r="O28" s="9" t="inlineStr"/>
      <c r="P28" s="9" t="inlineStr"/>
      <c r="Q28" s="7">
        <f>IF(OR(J28="",N28=""),"",IF(J28=N28,"sí","no"))</f>
        <v/>
      </c>
      <c r="R28" s="7">
        <f>IF(OR(K28="",O28=""),"",IF(K28=O28,"sí","no"))</f>
        <v/>
      </c>
      <c r="S28" s="9" t="inlineStr"/>
      <c r="T28" s="9" t="inlineStr"/>
      <c r="U28" s="9" t="inlineStr"/>
    </row>
    <row r="29" ht="75" customHeight="1">
      <c r="A29" s="7" t="inlineStr">
        <is>
          <t>CUR-028</t>
        </is>
      </c>
      <c r="B29" s="7" t="inlineStr">
        <is>
          <t>gorrión</t>
        </is>
      </c>
      <c r="C29" s="7" t="inlineStr">
        <is>
          <t>Persona vulgar, ordinaria, sin trasendencia que cree que su existencia es algoextraordinario, cuando en realidad es un sujeto totalmente precindible para la sociedad. fem: gorriona.</t>
        </is>
      </c>
      <c r="D29" s="8" t="inlineStr">
        <is>
          <t>diccionarioargentino.com</t>
        </is>
      </c>
      <c r="E29" s="7" t="inlineStr">
        <is>
          <t>pianta'o, pianta'o, pianta'o / Yo miro a Buenos Aires del nido de un gorrión / Y a vos te vi tan triste; vení, volá, sentí el loco</t>
        </is>
      </c>
      <c r="F29" s="7" t="inlineStr">
        <is>
          <t>Balada Para un Loco · Roberto Goyeneche (1969)</t>
        </is>
      </c>
      <c r="G29" s="7" t="inlineStr"/>
      <c r="H29" s="7" t="inlineStr"/>
      <c r="I29" s="9" t="inlineStr"/>
      <c r="J29" s="9" t="inlineStr"/>
      <c r="K29" s="9" t="inlineStr"/>
      <c r="L29" s="9" t="inlineStr"/>
      <c r="M29" s="9" t="inlineStr"/>
      <c r="N29" s="9" t="inlineStr"/>
      <c r="O29" s="9" t="inlineStr"/>
      <c r="P29" s="9" t="inlineStr"/>
      <c r="Q29" s="7">
        <f>IF(OR(J29="",N29=""),"",IF(J29=N29,"sí","no"))</f>
        <v/>
      </c>
      <c r="R29" s="7">
        <f>IF(OR(K29="",O29=""),"",IF(K29=O29,"sí","no"))</f>
        <v/>
      </c>
      <c r="S29" s="9" t="inlineStr"/>
      <c r="T29" s="9" t="inlineStr"/>
      <c r="U29" s="9" t="inlineStr"/>
    </row>
    <row r="30" ht="60" customHeight="1">
      <c r="A30" s="7" t="inlineStr">
        <is>
          <t>CUR-029</t>
        </is>
      </c>
      <c r="B30" s="7" t="inlineStr">
        <is>
          <t>jalar</t>
        </is>
      </c>
      <c r="C30" s="7" t="inlineStr">
        <is>
          <t>Inhalar con fines psicoactivos los vapores de un disolvente, generalmente colocándolo en una bolsa que se acerca a la boca y la nariz.</t>
        </is>
      </c>
      <c r="D30" s="7" t="inlineStr">
        <is>
          <t>Wikcionario</t>
        </is>
      </c>
      <c r="E30" s="7" t="inlineStr">
        <is>
          <t>Podés encontrarme por ahí, perdido sin Waze / Jalando popper con los gays / El día que muera, moriré en mi ley</t>
        </is>
      </c>
      <c r="F30" s="7" t="inlineStr">
        <is>
          <t>Buenos tiempos · Dillom (2024)</t>
        </is>
      </c>
      <c r="G30" s="7" t="inlineStr">
        <is>
          <t>Te busco x esos pasillos / Por ti jalo el gatillo / Que lo que tenga q pasar</t>
        </is>
      </c>
      <c r="H30" s="7" t="inlineStr">
        <is>
          <t>Quiero · Stefy Xipolitakis</t>
        </is>
      </c>
      <c r="I30" s="9" t="inlineStr"/>
      <c r="J30" s="9" t="inlineStr"/>
      <c r="K30" s="9" t="inlineStr"/>
      <c r="L30" s="9" t="inlineStr"/>
      <c r="M30" s="9" t="inlineStr"/>
      <c r="N30" s="9" t="inlineStr"/>
      <c r="O30" s="9" t="inlineStr"/>
      <c r="P30" s="9" t="inlineStr"/>
      <c r="Q30" s="7">
        <f>IF(OR(J30="",N30=""),"",IF(J30=N30,"sí","no"))</f>
        <v/>
      </c>
      <c r="R30" s="7">
        <f>IF(OR(K30="",O30=""),"",IF(K30=O30,"sí","no"))</f>
        <v/>
      </c>
      <c r="S30" s="9" t="inlineStr"/>
      <c r="T30" s="9" t="inlineStr"/>
      <c r="U30" s="9" t="inlineStr"/>
    </row>
    <row r="31" ht="45" customHeight="1">
      <c r="A31" s="7" t="inlineStr">
        <is>
          <t>CUR-030</t>
        </is>
      </c>
      <c r="B31" s="7" t="inlineStr">
        <is>
          <t>tesoro</t>
        </is>
      </c>
      <c r="C31" s="7" t="inlineStr">
        <is>
          <t>Depósito de plata, oro, y otros bienes de gran valor.</t>
        </is>
      </c>
      <c r="D31" s="7" t="inlineStr">
        <is>
          <t>Wikcionario</t>
        </is>
      </c>
      <c r="E31" s="7" t="inlineStr">
        <is>
          <t>Vamos a desembarcar / Muchos tesoros, joyas y perlas / Que ha conseguido ganar</t>
        </is>
      </c>
      <c r="F31" s="7" t="inlineStr">
        <is>
          <t>El Pirata Cara de Rata · Flor Ansaldo (2020)</t>
        </is>
      </c>
      <c r="G31" s="7" t="inlineStr">
        <is>
          <t>De tus ojos nunca quiero verme lejos / ¡Divinos tesoros de amor y de ensueño! / De tus ojos vivo</t>
        </is>
      </c>
      <c r="H31" s="7" t="inlineStr">
        <is>
          <t>Ruego · Felipe Boero</t>
        </is>
      </c>
      <c r="I31" s="9" t="inlineStr"/>
      <c r="J31" s="9" t="inlineStr"/>
      <c r="K31" s="9" t="inlineStr"/>
      <c r="L31" s="9" t="inlineStr"/>
      <c r="M31" s="9" t="inlineStr"/>
      <c r="N31" s="9" t="inlineStr"/>
      <c r="O31" s="9" t="inlineStr"/>
      <c r="P31" s="9" t="inlineStr"/>
      <c r="Q31" s="7">
        <f>IF(OR(J31="",N31=""),"",IF(J31=N31,"sí","no"))</f>
        <v/>
      </c>
      <c r="R31" s="7">
        <f>IF(OR(K31="",O31=""),"",IF(K31=O31,"sí","no"))</f>
        <v/>
      </c>
      <c r="S31" s="9" t="inlineStr"/>
      <c r="T31" s="9" t="inlineStr"/>
      <c r="U31" s="9" t="inlineStr"/>
    </row>
    <row r="32" ht="45" customHeight="1">
      <c r="A32" s="7" t="inlineStr">
        <is>
          <t>CUR-031</t>
        </is>
      </c>
      <c r="B32" s="7" t="inlineStr">
        <is>
          <t>piel</t>
        </is>
      </c>
      <c r="C32" s="7" t="inlineStr">
        <is>
          <t>Química (cohesión o entendimiento con otras personas).</t>
        </is>
      </c>
      <c r="D32" s="7" t="inlineStr">
        <is>
          <t>Wikcionario</t>
        </is>
      </c>
      <c r="E32" s="7" t="inlineStr">
        <is>
          <t>el viaje a Venus / Medio melón en la cabeza, las rayas de la camisa pintadas en la piel / Dos medias suelas clavadas en los pies</t>
        </is>
      </c>
      <c r="F32" s="7" t="inlineStr">
        <is>
          <t>Balada Para un Loco · Roberto Goyeneche (1969)</t>
        </is>
      </c>
      <c r="G32" s="7" t="inlineStr">
        <is>
          <t>La luz de todos los colores, cantando / El color de una piel y de una flor / Una guitarra y tu voz</t>
        </is>
      </c>
      <c r="H32" s="7" t="inlineStr">
        <is>
          <t>Estaré · Los Visitantes (1996)</t>
        </is>
      </c>
      <c r="I32" s="9" t="inlineStr"/>
      <c r="J32" s="9" t="inlineStr"/>
      <c r="K32" s="9" t="inlineStr"/>
      <c r="L32" s="9" t="inlineStr"/>
      <c r="M32" s="9" t="inlineStr"/>
      <c r="N32" s="9" t="inlineStr"/>
      <c r="O32" s="9" t="inlineStr"/>
      <c r="P32" s="9" t="inlineStr"/>
      <c r="Q32" s="7">
        <f>IF(OR(J32="",N32=""),"",IF(J32=N32,"sí","no"))</f>
        <v/>
      </c>
      <c r="R32" s="7">
        <f>IF(OR(K32="",O32=""),"",IF(K32=O32,"sí","no"))</f>
        <v/>
      </c>
      <c r="S32" s="9" t="inlineStr"/>
      <c r="T32" s="9" t="inlineStr"/>
      <c r="U32" s="9" t="inlineStr"/>
    </row>
    <row r="33" ht="45" customHeight="1">
      <c r="A33" s="7" t="inlineStr">
        <is>
          <t>CUR-032</t>
        </is>
      </c>
      <c r="B33" s="7" t="inlineStr">
        <is>
          <t>muerto</t>
        </is>
      </c>
      <c r="C33" s="7" t="inlineStr">
        <is>
          <t>Inhábil, sobre todo cuando refiere a juegos o deportes.</t>
        </is>
      </c>
      <c r="D33" s="7" t="inlineStr">
        <is>
          <t>Wikcionario</t>
        </is>
      </c>
      <c r="E33" s="7" t="inlineStr">
        <is>
          <t>nunca me quiso, y estoy loco por su beso / Mañana puedo estar muerto, como también estar preso / Si salgo de casa, no sabré si vo'a</t>
        </is>
      </c>
      <c r="F33" s="7" t="inlineStr">
        <is>
          <t>Freestyle Session #5 · Zaramay (2019)</t>
        </is>
      </c>
      <c r="G33" s="7" t="inlineStr">
        <is>
          <t>Ver fuerza salir del lodo / Watch me, ya muerta, pero escribiendo hits / I am confuse como Cuasimodo</t>
        </is>
      </c>
      <c r="H33" s="7" t="inlineStr">
        <is>
          <t>KAMIKAZE · Sofía Gabanna (2023)</t>
        </is>
      </c>
      <c r="I33" s="9" t="inlineStr"/>
      <c r="J33" s="9" t="inlineStr"/>
      <c r="K33" s="9" t="inlineStr"/>
      <c r="L33" s="9" t="inlineStr"/>
      <c r="M33" s="9" t="inlineStr"/>
      <c r="N33" s="9" t="inlineStr"/>
      <c r="O33" s="9" t="inlineStr"/>
      <c r="P33" s="9" t="inlineStr"/>
      <c r="Q33" s="7">
        <f>IF(OR(J33="",N33=""),"",IF(J33=N33,"sí","no"))</f>
        <v/>
      </c>
      <c r="R33" s="7">
        <f>IF(OR(K33="",O33=""),"",IF(K33=O33,"sí","no"))</f>
        <v/>
      </c>
      <c r="S33" s="9" t="inlineStr"/>
      <c r="T33" s="9" t="inlineStr"/>
      <c r="U33" s="9" t="inlineStr"/>
    </row>
    <row r="34" ht="45" customHeight="1">
      <c r="A34" s="7" t="inlineStr">
        <is>
          <t>CUR-033</t>
        </is>
      </c>
      <c r="B34" s="7" t="inlineStr">
        <is>
          <t>birra</t>
        </is>
      </c>
      <c r="C34" s="7" t="inlineStr">
        <is>
          <t>Forma de decirle a la cerveza.</t>
        </is>
      </c>
      <c r="D34" s="8" t="inlineStr">
        <is>
          <t>diccionarioargentino.com</t>
        </is>
      </c>
      <c r="E34" s="7" t="inlineStr">
        <is>
          <t>"El Feriado Nacional de la Vagancia" / Birra!!! Cumbia nena / Y a bailar con las Kumbia Queers</t>
        </is>
      </c>
      <c r="F34" s="7" t="inlineStr">
        <is>
          <t>Feriado Nacional · Kumbia Queers (2010)</t>
        </is>
      </c>
      <c r="G34" s="7" t="inlineStr">
        <is>
          <t>"El Feriado Nacional de la Vagancia" / Birra!!!!! / El lunes a la noche... me quiero matar</t>
        </is>
      </c>
      <c r="H34" s="7" t="inlineStr">
        <is>
          <t>Feriado Nacional · Kumbia Queers (2010)</t>
        </is>
      </c>
      <c r="I34" s="9" t="inlineStr"/>
      <c r="J34" s="9" t="inlineStr"/>
      <c r="K34" s="9" t="inlineStr"/>
      <c r="L34" s="9" t="inlineStr"/>
      <c r="M34" s="9" t="inlineStr"/>
      <c r="N34" s="9" t="inlineStr"/>
      <c r="O34" s="9" t="inlineStr"/>
      <c r="P34" s="9" t="inlineStr"/>
      <c r="Q34" s="7">
        <f>IF(OR(J34="",N34=""),"",IF(J34=N34,"sí","no"))</f>
        <v/>
      </c>
      <c r="R34" s="7">
        <f>IF(OR(K34="",O34=""),"",IF(K34=O34,"sí","no"))</f>
        <v/>
      </c>
      <c r="S34" s="9" t="inlineStr"/>
      <c r="T34" s="9" t="inlineStr"/>
      <c r="U34" s="9" t="inlineStr"/>
    </row>
    <row r="35" ht="45" customHeight="1">
      <c r="A35" s="7" t="inlineStr">
        <is>
          <t>CUR-034</t>
        </is>
      </c>
      <c r="B35" s="7" t="inlineStr">
        <is>
          <t>vento</t>
        </is>
      </c>
      <c r="C35" s="7" t="inlineStr">
        <is>
          <t>Dinero, en especial en efectivo.</t>
        </is>
      </c>
      <c r="D35" s="7" t="inlineStr">
        <is>
          <t>Wikcionario</t>
        </is>
      </c>
      <c r="E35" s="7" t="inlineStr">
        <is>
          <t>Y al vivo le baten rana / La guita o el vento es / El dinero que circula</t>
        </is>
      </c>
      <c r="F35" s="7" t="inlineStr">
        <is>
          <t>Milonga Lunfarda · Edmundo Rivero (1972)</t>
        </is>
      </c>
      <c r="G35" s="7" t="inlineStr">
        <is>
          <t>'Tam-tam-tamo' chelo / Mis ñeri' toman tussi en un Vento / De como terminamo', mejor no te cuento</t>
        </is>
      </c>
      <c r="H35" s="7" t="inlineStr">
        <is>
          <t>Tamo Chelo · El Noba (2021)</t>
        </is>
      </c>
      <c r="I35" s="9" t="inlineStr"/>
      <c r="J35" s="9" t="inlineStr"/>
      <c r="K35" s="9" t="inlineStr"/>
      <c r="L35" s="9" t="inlineStr"/>
      <c r="M35" s="9" t="inlineStr"/>
      <c r="N35" s="9" t="inlineStr"/>
      <c r="O35" s="9" t="inlineStr"/>
      <c r="P35" s="9" t="inlineStr"/>
      <c r="Q35" s="7">
        <f>IF(OR(J35="",N35=""),"",IF(J35=N35,"sí","no"))</f>
        <v/>
      </c>
      <c r="R35" s="7">
        <f>IF(OR(K35="",O35=""),"",IF(K35=O35,"sí","no"))</f>
        <v/>
      </c>
      <c r="S35" s="9" t="inlineStr"/>
      <c r="T35" s="9" t="inlineStr"/>
      <c r="U35" s="9" t="inlineStr"/>
    </row>
    <row r="36" ht="45" customHeight="1">
      <c r="A36" s="7" t="inlineStr">
        <is>
          <t>CUR-035</t>
        </is>
      </c>
      <c r="B36" s="7" t="inlineStr">
        <is>
          <t>clandestino</t>
        </is>
      </c>
      <c r="C36" s="7" t="inlineStr">
        <is>
          <t>Prostíbulo.</t>
        </is>
      </c>
      <c r="D36" s="7" t="inlineStr">
        <is>
          <t>Wikcionario</t>
        </is>
      </c>
      <c r="E36" s="7" t="inlineStr">
        <is>
          <t>Esto va pa' los turro' y las gata' finas / Esta noche se pica en la clandestina / Los quiero a todos los pibe' cantina</t>
        </is>
      </c>
      <c r="F36" s="7" t="inlineStr">
        <is>
          <t>Tamo Chelo · El Noba (2021)</t>
        </is>
      </c>
      <c r="G36" s="7" t="inlineStr">
        <is>
          <t>Acá las guacha' nos llueven y nos mueven el totó / Esta noche se pica en la clandestina / El tranza refugiado vendiendo cocaína</t>
        </is>
      </c>
      <c r="H36" s="7" t="inlineStr">
        <is>
          <t>KAKAROTO · El Noba</t>
        </is>
      </c>
      <c r="I36" s="9" t="inlineStr"/>
      <c r="J36" s="9" t="inlineStr"/>
      <c r="K36" s="9" t="inlineStr"/>
      <c r="L36" s="9" t="inlineStr"/>
      <c r="M36" s="9" t="inlineStr"/>
      <c r="N36" s="9" t="inlineStr"/>
      <c r="O36" s="9" t="inlineStr"/>
      <c r="P36" s="9" t="inlineStr"/>
      <c r="Q36" s="7">
        <f>IF(OR(J36="",N36=""),"",IF(J36=N36,"sí","no"))</f>
        <v/>
      </c>
      <c r="R36" s="7">
        <f>IF(OR(K36="",O36=""),"",IF(K36=O36,"sí","no"))</f>
        <v/>
      </c>
      <c r="S36" s="9" t="inlineStr"/>
      <c r="T36" s="9" t="inlineStr"/>
      <c r="U36" s="9" t="inlineStr"/>
    </row>
    <row r="37" ht="45" customHeight="1">
      <c r="A37" s="7" t="inlineStr">
        <is>
          <t>CUR-036</t>
        </is>
      </c>
      <c r="B37" s="7" t="inlineStr">
        <is>
          <t>sonar</t>
        </is>
      </c>
      <c r="C37" s="7" t="inlineStr">
        <is>
          <t>Fracasar, terminar mal o haber caído en graves problemas. Se aplica sobre todo a personas.</t>
        </is>
      </c>
      <c r="D37" s="7" t="inlineStr">
        <is>
          <t>Wikcionario</t>
        </is>
      </c>
      <c r="E37" s="7" t="inlineStr">
        <is>
          <t>Como un hilo sin nombre / Suena un poco a mi guitarra / Tengo que aprender a volar</t>
        </is>
      </c>
      <c r="F37" s="7" t="inlineStr">
        <is>
          <t>Canción Para los Días de la Vida · María Gabriela Epumer (2000)</t>
        </is>
      </c>
      <c r="G37" s="7" t="inlineStr">
        <is>
          <t>Y te sientes toda una mujer / El teléfono siempre sonando / Tú contestas hablando en secreto</t>
        </is>
      </c>
      <c r="H37" s="7" t="inlineStr">
        <is>
          <t>El tiempo pasa y se va · Carlos Javier Beltrán (1982)</t>
        </is>
      </c>
      <c r="I37" s="9" t="inlineStr"/>
      <c r="J37" s="9" t="inlineStr"/>
      <c r="K37" s="9" t="inlineStr"/>
      <c r="L37" s="9" t="inlineStr"/>
      <c r="M37" s="9" t="inlineStr"/>
      <c r="N37" s="9" t="inlineStr"/>
      <c r="O37" s="9" t="inlineStr"/>
      <c r="P37" s="9" t="inlineStr"/>
      <c r="Q37" s="7">
        <f>IF(OR(J37="",N37=""),"",IF(J37=N37,"sí","no"))</f>
        <v/>
      </c>
      <c r="R37" s="7">
        <f>IF(OR(K37="",O37=""),"",IF(K37=O37,"sí","no"))</f>
        <v/>
      </c>
      <c r="S37" s="9" t="inlineStr"/>
      <c r="T37" s="9" t="inlineStr"/>
      <c r="U37" s="9" t="inlineStr"/>
    </row>
    <row r="38" ht="45" customHeight="1">
      <c r="A38" s="7" t="inlineStr">
        <is>
          <t>CUR-037</t>
        </is>
      </c>
      <c r="B38" s="7" t="inlineStr">
        <is>
          <t>dormir</t>
        </is>
      </c>
      <c r="C38" s="7" t="inlineStr">
        <is>
          <t>Engañar a alguien para obtener un beneficio.</t>
        </is>
      </c>
      <c r="D38" s="7" t="inlineStr">
        <is>
          <t>Wikcionario</t>
        </is>
      </c>
      <c r="E38" s="7" t="inlineStr">
        <is>
          <t>Cuando pierda todas las partidas / Cuando duerma con la soledad / Cuando se me cierren las salidas</t>
        </is>
      </c>
      <c r="F38" s="7" t="inlineStr">
        <is>
          <t>Resistiré (Versión Reggaetón) · Zulma Lobato (2009)</t>
        </is>
      </c>
      <c r="G38" s="7" t="inlineStr">
        <is>
          <t>Turbulencia, aguamiel / El día se durmió / Aplazado al calor, pasionaria</t>
        </is>
      </c>
      <c r="H38" s="7" t="inlineStr">
        <is>
          <t>Alas de la Mañana · Lito Epumer (2004)</t>
        </is>
      </c>
      <c r="I38" s="9" t="inlineStr"/>
      <c r="J38" s="9" t="inlineStr"/>
      <c r="K38" s="9" t="inlineStr"/>
      <c r="L38" s="9" t="inlineStr"/>
      <c r="M38" s="9" t="inlineStr"/>
      <c r="N38" s="9" t="inlineStr"/>
      <c r="O38" s="9" t="inlineStr"/>
      <c r="P38" s="9" t="inlineStr"/>
      <c r="Q38" s="7">
        <f>IF(OR(J38="",N38=""),"",IF(J38=N38,"sí","no"))</f>
        <v/>
      </c>
      <c r="R38" s="7">
        <f>IF(OR(K38="",O38=""),"",IF(K38=O38,"sí","no"))</f>
        <v/>
      </c>
      <c r="S38" s="9" t="inlineStr"/>
      <c r="T38" s="9" t="inlineStr"/>
      <c r="U38" s="9" t="inlineStr"/>
    </row>
    <row r="39" ht="60" customHeight="1">
      <c r="A39" s="7" t="inlineStr">
        <is>
          <t>CUR-038</t>
        </is>
      </c>
      <c r="B39" s="7" t="inlineStr">
        <is>
          <t>taco</t>
        </is>
      </c>
      <c r="C39" s="7" t="inlineStr">
        <is>
          <t>polo-stick; mallet</t>
        </is>
      </c>
      <c r="D39" s="7" t="inlineStr">
        <is>
          <t>Wiktionary (en inglés)</t>
        </is>
      </c>
      <c r="E39" s="7" t="inlineStr">
        <is>
          <t>Esos tacos de donde han salido / Hay que rara te veo mi niña</t>
        </is>
      </c>
      <c r="F39" s="7" t="inlineStr">
        <is>
          <t>El tiempo pasa y se va · Carlos Javier Beltrán (1982)</t>
        </is>
      </c>
      <c r="G39" s="7" t="inlineStr">
        <is>
          <t>elegante hablando, lady, no hace falta un saco / Y a ti pa' ser mujer no te hacen falta tacos / Mis negro' experimentan con el amoniaco</t>
        </is>
      </c>
      <c r="H39" s="7" t="inlineStr">
        <is>
          <t>Nena · Zaramay (2018)</t>
        </is>
      </c>
      <c r="I39" s="9" t="inlineStr"/>
      <c r="J39" s="9" t="inlineStr"/>
      <c r="K39" s="9" t="inlineStr"/>
      <c r="L39" s="9" t="inlineStr"/>
      <c r="M39" s="9" t="inlineStr"/>
      <c r="N39" s="9" t="inlineStr"/>
      <c r="O39" s="9" t="inlineStr"/>
      <c r="P39" s="9" t="inlineStr"/>
      <c r="Q39" s="7">
        <f>IF(OR(J39="",N39=""),"",IF(J39=N39,"sí","no"))</f>
        <v/>
      </c>
      <c r="R39" s="7">
        <f>IF(OR(K39="",O39=""),"",IF(K39=O39,"sí","no"))</f>
        <v/>
      </c>
      <c r="S39" s="9" t="inlineStr"/>
      <c r="T39" s="9" t="inlineStr"/>
      <c r="U39" s="9" t="inlineStr"/>
    </row>
    <row r="40" ht="45" customHeight="1">
      <c r="A40" s="7" t="inlineStr">
        <is>
          <t>CUR-039</t>
        </is>
      </c>
      <c r="B40" s="7" t="inlineStr">
        <is>
          <t>boludo</t>
        </is>
      </c>
      <c r="C40" s="7" t="inlineStr">
        <is>
          <t>Persona estupida, tonta, una persona imbecil</t>
        </is>
      </c>
      <c r="D40" s="8" t="inlineStr">
        <is>
          <t>diccionarioargentino.com</t>
        </is>
      </c>
      <c r="E40" s="7" t="inlineStr">
        <is>
          <t>a llevarte a lo profundo de mi mente / ¿Te pensás que soy boludo? ¿Que no sé cuándo me mienten? / Te pensás que yo no tengo</t>
        </is>
      </c>
      <c r="F40" s="7" t="inlineStr">
        <is>
          <t>Muñecas · Dillom (2024)</t>
        </is>
      </c>
      <c r="G40" s="7" t="inlineStr">
        <is>
          <t>Me la pone tan gorda que le hacen body-shaming / (Ay, same, boluda, yo también tengo ascendente en sagitario,</t>
        </is>
      </c>
      <c r="H40" s="7" t="inlineStr">
        <is>
          <t>Buenos tiempos · Dillom (2024)</t>
        </is>
      </c>
      <c r="I40" s="9" t="inlineStr"/>
      <c r="J40" s="9" t="inlineStr"/>
      <c r="K40" s="9" t="inlineStr"/>
      <c r="L40" s="9" t="inlineStr"/>
      <c r="M40" s="9" t="inlineStr"/>
      <c r="N40" s="9" t="inlineStr"/>
      <c r="O40" s="9" t="inlineStr"/>
      <c r="P40" s="9" t="inlineStr"/>
      <c r="Q40" s="7">
        <f>IF(OR(J40="",N40=""),"",IF(J40=N40,"sí","no"))</f>
        <v/>
      </c>
      <c r="R40" s="7">
        <f>IF(OR(K40="",O40=""),"",IF(K40=O40,"sí","no"))</f>
        <v/>
      </c>
      <c r="S40" s="9" t="inlineStr"/>
      <c r="T40" s="9" t="inlineStr"/>
      <c r="U40" s="9" t="inlineStr"/>
    </row>
    <row r="41" ht="45" customHeight="1">
      <c r="A41" s="7" t="inlineStr">
        <is>
          <t>CUR-040</t>
        </is>
      </c>
      <c r="B41" s="7" t="inlineStr">
        <is>
          <t>mate</t>
        </is>
      </c>
      <c r="C41" s="7" t="inlineStr">
        <is>
          <t>Bebida con yerba, tradicional de Argentina. CÓMO NO VAS A SABER QUÉ ES UN MATE?! xd</t>
        </is>
      </c>
      <c r="D41" s="8" t="inlineStr">
        <is>
          <t>diccionarioargentino.com</t>
        </is>
      </c>
      <c r="E41" s="7" t="inlineStr">
        <is>
          <t>Por vos he morfao más canas / Que pelos tengo en el mate / Por vos hizo el disparate</t>
        </is>
      </c>
      <c r="F41" s="7" t="inlineStr">
        <is>
          <t>Apología del Tango · Tita Merello (1969)</t>
        </is>
      </c>
      <c r="G41" s="7" t="inlineStr">
        <is>
          <t>Siempre traigo bizcochitos / Pa' tomar con matecito / Como si estuvieras vos</t>
        </is>
      </c>
      <c r="H41" s="7" t="inlineStr">
        <is>
          <t>Mi noche triste · Carlos Gardel (1917)</t>
        </is>
      </c>
      <c r="I41" s="9" t="inlineStr"/>
      <c r="J41" s="9" t="inlineStr"/>
      <c r="K41" s="9" t="inlineStr"/>
      <c r="L41" s="9" t="inlineStr"/>
      <c r="M41" s="9" t="inlineStr"/>
      <c r="N41" s="9" t="inlineStr"/>
      <c r="O41" s="9" t="inlineStr"/>
      <c r="P41" s="9" t="inlineStr"/>
      <c r="Q41" s="7">
        <f>IF(OR(J41="",N41=""),"",IF(J41=N41,"sí","no"))</f>
        <v/>
      </c>
      <c r="R41" s="7">
        <f>IF(OR(K41="",O41=""),"",IF(K41=O41,"sí","no"))</f>
        <v/>
      </c>
      <c r="S41" s="9" t="inlineStr"/>
      <c r="T41" s="9" t="inlineStr"/>
      <c r="U41" s="9" t="inlineStr"/>
    </row>
    <row r="42" ht="45" customHeight="1">
      <c r="A42" s="7" t="inlineStr">
        <is>
          <t>CUR-041</t>
        </is>
      </c>
      <c r="B42" s="7" t="inlineStr">
        <is>
          <t>cargar</t>
        </is>
      </c>
      <c r="C42" s="7" t="inlineStr">
        <is>
          <t>Tomarle el pelo a alguien.</t>
        </is>
      </c>
      <c r="D42" s="8" t="inlineStr">
        <is>
          <t>diccionarioargentino.com</t>
        </is>
      </c>
      <c r="E42" s="7" t="inlineStr">
        <is>
          <t>Me puse a pensar si vale la pena / Cargar esa cruz por ti, por mí / Dame una señal</t>
        </is>
      </c>
      <c r="F42" s="7" t="inlineStr">
        <is>
          <t>Cuero 皮膚 · Yesan 雪山 (2023)</t>
        </is>
      </c>
      <c r="G42" s="7" t="inlineStr">
        <is>
          <t>Hicimos del ruido las respuestas / Caminamos los desposeídos cargando los mantos que cubrirán sus cuerpos</t>
        </is>
      </c>
      <c r="H42" s="7" t="inlineStr">
        <is>
          <t>Pedagogía de la venganza · Cienfuegos (2021)</t>
        </is>
      </c>
      <c r="I42" s="9" t="inlineStr"/>
      <c r="J42" s="9" t="inlineStr"/>
      <c r="K42" s="9" t="inlineStr"/>
      <c r="L42" s="9" t="inlineStr"/>
      <c r="M42" s="9" t="inlineStr"/>
      <c r="N42" s="9" t="inlineStr"/>
      <c r="O42" s="9" t="inlineStr"/>
      <c r="P42" s="9" t="inlineStr"/>
      <c r="Q42" s="7">
        <f>IF(OR(J42="",N42=""),"",IF(J42=N42,"sí","no"))</f>
        <v/>
      </c>
      <c r="R42" s="7">
        <f>IF(OR(K42="",O42=""),"",IF(K42=O42,"sí","no"))</f>
        <v/>
      </c>
      <c r="S42" s="9" t="inlineStr"/>
      <c r="T42" s="9" t="inlineStr"/>
      <c r="U42" s="9" t="inlineStr"/>
    </row>
    <row r="43" ht="60" customHeight="1">
      <c r="A43" s="7" t="inlineStr">
        <is>
          <t>CUR-042</t>
        </is>
      </c>
      <c r="B43" s="7" t="inlineStr">
        <is>
          <t>blanca</t>
        </is>
      </c>
      <c r="C43" s="7" t="inlineStr">
        <is>
          <t>Principio activo de la coca extraído en forma de clorhidrato, usado como medicamento y en especial como droga recreativa.</t>
        </is>
      </c>
      <c r="D43" s="7" t="inlineStr">
        <is>
          <t>Wikcionario</t>
        </is>
      </c>
      <c r="E43" s="7" t="inlineStr">
        <is>
          <t>Una guitarra y tu voz / La blanca y cálida luz / Del sol</t>
        </is>
      </c>
      <c r="F43" s="7" t="inlineStr">
        <is>
          <t>Estaré · Los Visitantes (1996)</t>
        </is>
      </c>
      <c r="G43" s="7" t="inlineStr">
        <is>
          <t>Conocí una cheta con la piel naranja / Ella tomaba keta y yo tomaba blanca / Me dijo que se drogaba una vez cada tanto</t>
        </is>
      </c>
      <c r="H43" s="7" t="inlineStr">
        <is>
          <t>Buenos tiempos · Dillom (2024)</t>
        </is>
      </c>
      <c r="I43" s="9" t="inlineStr"/>
      <c r="J43" s="9" t="inlineStr"/>
      <c r="K43" s="9" t="inlineStr"/>
      <c r="L43" s="9" t="inlineStr"/>
      <c r="M43" s="9" t="inlineStr"/>
      <c r="N43" s="9" t="inlineStr"/>
      <c r="O43" s="9" t="inlineStr"/>
      <c r="P43" s="9" t="inlineStr"/>
      <c r="Q43" s="7">
        <f>IF(OR(J43="",N43=""),"",IF(J43=N43,"sí","no"))</f>
        <v/>
      </c>
      <c r="R43" s="7">
        <f>IF(OR(K43="",O43=""),"",IF(K43=O43,"sí","no"))</f>
        <v/>
      </c>
      <c r="S43" s="9" t="inlineStr"/>
      <c r="T43" s="9" t="inlineStr"/>
      <c r="U43" s="9" t="inlineStr"/>
    </row>
    <row r="44" ht="45" customHeight="1">
      <c r="A44" s="7" t="inlineStr">
        <is>
          <t>CUR-043</t>
        </is>
      </c>
      <c r="B44" s="7" t="inlineStr">
        <is>
          <t>raro</t>
        </is>
      </c>
      <c r="C44" s="7" t="inlineStr">
        <is>
          <t>Que no es corriente, que es diferente a lo común en su clase.</t>
        </is>
      </c>
      <c r="D44" s="7" t="inlineStr">
        <is>
          <t>Wikcionario</t>
        </is>
      </c>
      <c r="E44" s="7" t="inlineStr">
        <is>
          <t>Algunas personas no saben de lo que yo hablo / Dicen que esto es raro y eso es un halago / Dicen que esto es</t>
        </is>
      </c>
      <c r="F44" s="7" t="inlineStr">
        <is>
          <t>No Hay Rencor · Sofía Gabanna (2019)</t>
        </is>
      </c>
      <c r="G44" s="7" t="inlineStr">
        <is>
          <t>es que te molesta (Wow, yeah) / Sé que a veces soy muy raro y no te doy respuesta, huh (Skrrt) / Pero estás enamora', tu cara</t>
        </is>
      </c>
      <c r="H44" s="7" t="inlineStr">
        <is>
          <t>iPhone · Zell (2024)</t>
        </is>
      </c>
      <c r="I44" s="9" t="inlineStr"/>
      <c r="J44" s="9" t="inlineStr"/>
      <c r="K44" s="9" t="inlineStr"/>
      <c r="L44" s="9" t="inlineStr"/>
      <c r="M44" s="9" t="inlineStr"/>
      <c r="N44" s="9" t="inlineStr"/>
      <c r="O44" s="9" t="inlineStr"/>
      <c r="P44" s="9" t="inlineStr"/>
      <c r="Q44" s="7">
        <f>IF(OR(J44="",N44=""),"",IF(J44=N44,"sí","no"))</f>
        <v/>
      </c>
      <c r="R44" s="7">
        <f>IF(OR(K44="",O44=""),"",IF(K44=O44,"sí","no"))</f>
        <v/>
      </c>
      <c r="S44" s="9" t="inlineStr"/>
      <c r="T44" s="9" t="inlineStr"/>
      <c r="U44" s="9" t="inlineStr"/>
    </row>
    <row r="45" ht="105" customHeight="1">
      <c r="A45" s="7" t="inlineStr">
        <is>
          <t>CUR-044</t>
        </is>
      </c>
      <c r="B45" s="7" t="inlineStr">
        <is>
          <t>porteño</t>
        </is>
      </c>
      <c r="C45" s="7" t="inlineStr">
        <is>
          <t>Proveniente del puerto de Buenos Aires. Hace mucho tiempo atrás, la ciudad de Buenos aires era la única en tener puerto para sida de barco en el país , entonces quienes vivían allí eran "porteños ".  Este término se sigue utilizando hasta hoy en día.</t>
        </is>
      </c>
      <c r="D45" s="8" t="inlineStr">
        <is>
          <t>diccionarioargentino.com</t>
        </is>
      </c>
      <c r="E45" s="7" t="inlineStr">
        <is>
          <t>Que tengo para vos / Loco, loco, loco, cuando anochezca en tu porteña soledad / Por la ribera de tu sabana vendré con un poema y un</t>
        </is>
      </c>
      <c r="F45" s="7" t="inlineStr">
        <is>
          <t>Balada Para un Loco · Roberto Goyeneche (1969)</t>
        </is>
      </c>
      <c r="G45" s="7" t="inlineStr">
        <is>
          <t>Llevo un sello de nobleza / Soy porteña de una pieza / Tengo voz de bandoneón</t>
        </is>
      </c>
      <c r="H45" s="7" t="inlineStr">
        <is>
          <t>Arrabalera · Tita Merello (1955)</t>
        </is>
      </c>
      <c r="I45" s="9" t="inlineStr"/>
      <c r="J45" s="9" t="inlineStr"/>
      <c r="K45" s="9" t="inlineStr"/>
      <c r="L45" s="9" t="inlineStr"/>
      <c r="M45" s="9" t="inlineStr"/>
      <c r="N45" s="9" t="inlineStr"/>
      <c r="O45" s="9" t="inlineStr"/>
      <c r="P45" s="9" t="inlineStr"/>
      <c r="Q45" s="7">
        <f>IF(OR(J45="",N45=""),"",IF(J45=N45,"sí","no"))</f>
        <v/>
      </c>
      <c r="R45" s="7">
        <f>IF(OR(K45="",O45=""),"",IF(K45=O45,"sí","no"))</f>
        <v/>
      </c>
      <c r="S45" s="9" t="inlineStr"/>
      <c r="T45" s="9" t="inlineStr"/>
      <c r="U45" s="9" t="inlineStr"/>
    </row>
    <row r="46" ht="60" customHeight="1">
      <c r="A46" s="7" t="inlineStr">
        <is>
          <t>CUR-045</t>
        </is>
      </c>
      <c r="B46" s="7" t="inlineStr">
        <is>
          <t>pinta</t>
        </is>
      </c>
      <c r="C46" s="7" t="inlineStr">
        <is>
          <t>''pinta'' o se usa cuando le preguntás a alguien qué tiene ganas de hacer algo, o cuando le preguntás si está de acuerdo en hacer lo que vos querés.</t>
        </is>
      </c>
      <c r="D46" s="8" t="inlineStr">
        <is>
          <t>diccionarioargentino.com</t>
        </is>
      </c>
      <c r="E46" s="7" t="inlineStr">
        <is>
          <t>Quien no hace nada, es un fiaca / La pinta es la que destaca / Los rasgos de tu apostura</t>
        </is>
      </c>
      <c r="F46" s="7" t="inlineStr">
        <is>
          <t>Milonga Lunfarda · Edmundo Rivero (1972)</t>
        </is>
      </c>
      <c r="G46" s="7" t="inlineStr">
        <is>
          <t>Los hombres de mí critican la voz / El modo de andar, la pinta, la tos / Critican si ya la línea perdí</t>
        </is>
      </c>
      <c r="H46" s="7" t="inlineStr">
        <is>
          <t>Se Dice de Mí · Tita Merello (1955)</t>
        </is>
      </c>
      <c r="I46" s="9" t="inlineStr"/>
      <c r="J46" s="9" t="inlineStr"/>
      <c r="K46" s="9" t="inlineStr"/>
      <c r="L46" s="9" t="inlineStr"/>
      <c r="M46" s="9" t="inlineStr"/>
      <c r="N46" s="9" t="inlineStr"/>
      <c r="O46" s="9" t="inlineStr"/>
      <c r="P46" s="9" t="inlineStr"/>
      <c r="Q46" s="7">
        <f>IF(OR(J46="",N46=""),"",IF(J46=N46,"sí","no"))</f>
        <v/>
      </c>
      <c r="R46" s="7">
        <f>IF(OR(K46="",O46=""),"",IF(K46=O46,"sí","no"))</f>
        <v/>
      </c>
      <c r="S46" s="9" t="inlineStr"/>
      <c r="T46" s="9" t="inlineStr"/>
      <c r="U46" s="9" t="inlineStr"/>
    </row>
    <row r="47" ht="30" customHeight="1">
      <c r="A47" s="7" t="inlineStr">
        <is>
          <t>CUR-046</t>
        </is>
      </c>
      <c r="B47" s="7" t="inlineStr">
        <is>
          <t>dormirse</t>
        </is>
      </c>
      <c r="C47" s="7" t="inlineStr">
        <is>
          <t>Distraerse. Quedar desprevenido y dar pie a que alguien se aproveche de ello.</t>
        </is>
      </c>
      <c r="D47" s="8" t="inlineStr">
        <is>
          <t>diccionarioargentino.com</t>
        </is>
      </c>
      <c r="E47" s="7" t="inlineStr">
        <is>
          <t>La cama es una catrera / Y apoliyar es dormirse / Rajar o piantarse es irse</t>
        </is>
      </c>
      <c r="F47" s="7" t="inlineStr">
        <is>
          <t>Milonga Lunfarda · Edmundo Rivero (1972)</t>
        </is>
      </c>
      <c r="G47" s="7" t="inlineStr"/>
      <c r="H47" s="7" t="inlineStr"/>
      <c r="I47" s="9" t="inlineStr"/>
      <c r="J47" s="9" t="inlineStr"/>
      <c r="K47" s="9" t="inlineStr"/>
      <c r="L47" s="9" t="inlineStr"/>
      <c r="M47" s="9" t="inlineStr"/>
      <c r="N47" s="9" t="inlineStr"/>
      <c r="O47" s="9" t="inlineStr"/>
      <c r="P47" s="9" t="inlineStr"/>
      <c r="Q47" s="7">
        <f>IF(OR(J47="",N47=""),"",IF(J47=N47,"sí","no"))</f>
        <v/>
      </c>
      <c r="R47" s="7">
        <f>IF(OR(K47="",O47=""),"",IF(K47=O47,"sí","no"))</f>
        <v/>
      </c>
      <c r="S47" s="9" t="inlineStr"/>
      <c r="T47" s="9" t="inlineStr"/>
      <c r="U47" s="9" t="inlineStr"/>
    </row>
    <row r="48" ht="45" customHeight="1">
      <c r="A48" s="7" t="inlineStr">
        <is>
          <t>CUR-047</t>
        </is>
      </c>
      <c r="B48" s="7" t="inlineStr">
        <is>
          <t>logi</t>
        </is>
      </c>
      <c r="C48" s="7" t="inlineStr">
        <is>
          <t>Persona tonta, estúpida, aburrida. Sinónimo de Gil.</t>
        </is>
      </c>
      <c r="D48" s="8" t="inlineStr">
        <is>
          <t>diccionarioargentino.com</t>
        </is>
      </c>
      <c r="E48" s="7" t="inlineStr">
        <is>
          <t>Todo' lo' podere' corte Kakaroto / Logi, no te peine', no salí' en la foto / Ayer vino tu guacha, era mi copiloto</t>
        </is>
      </c>
      <c r="F48" s="7" t="inlineStr">
        <is>
          <t>KAKAROTO · El Noba</t>
        </is>
      </c>
      <c r="G48" s="7" t="inlineStr"/>
      <c r="H48" s="7" t="inlineStr"/>
      <c r="I48" s="9" t="inlineStr"/>
      <c r="J48" s="9" t="inlineStr"/>
      <c r="K48" s="9" t="inlineStr"/>
      <c r="L48" s="9" t="inlineStr"/>
      <c r="M48" s="9" t="inlineStr"/>
      <c r="N48" s="9" t="inlineStr"/>
      <c r="O48" s="9" t="inlineStr"/>
      <c r="P48" s="9" t="inlineStr"/>
      <c r="Q48" s="7">
        <f>IF(OR(J48="",N48=""),"",IF(J48=N48,"sí","no"))</f>
        <v/>
      </c>
      <c r="R48" s="7">
        <f>IF(OR(K48="",O48=""),"",IF(K48=O48,"sí","no"))</f>
        <v/>
      </c>
      <c r="S48" s="9" t="inlineStr"/>
      <c r="T48" s="9" t="inlineStr"/>
      <c r="U48" s="9" t="inlineStr"/>
    </row>
    <row r="49" ht="45" customHeight="1">
      <c r="A49" s="7" t="inlineStr">
        <is>
          <t>CUR-048</t>
        </is>
      </c>
      <c r="B49" s="7" t="inlineStr">
        <is>
          <t>mama</t>
        </is>
      </c>
      <c r="C49" s="7" t="inlineStr">
        <is>
          <t>Alteración física y mental que resulta de beber alcohol.</t>
        </is>
      </c>
      <c r="D49" s="7" t="inlineStr">
        <is>
          <t>Wikcionario</t>
        </is>
      </c>
      <c r="E49" s="7" t="inlineStr">
        <is>
          <t>Tus rebusques de mujer... / Hoy me entero que tu mama / “Noble viuda de un guerrero”</t>
        </is>
      </c>
      <c r="F49" s="7" t="inlineStr">
        <is>
          <t>Chorra · Edmundo Rivero (1959)</t>
        </is>
      </c>
      <c r="G49" s="7" t="inlineStr">
        <is>
          <t>Y yo por la pena de tanto' lune' (Lune'; ah-ah) / Mama sólo pide que yo no fume (No fume) / No sirve de na' que en</t>
        </is>
      </c>
      <c r="H49" s="7" t="inlineStr">
        <is>
          <t>Hello Cotto · Duki (2017)</t>
        </is>
      </c>
      <c r="I49" s="9" t="inlineStr"/>
      <c r="J49" s="9" t="inlineStr"/>
      <c r="K49" s="9" t="inlineStr"/>
      <c r="L49" s="9" t="inlineStr"/>
      <c r="M49" s="9" t="inlineStr"/>
      <c r="N49" s="9" t="inlineStr"/>
      <c r="O49" s="9" t="inlineStr"/>
      <c r="P49" s="9" t="inlineStr"/>
      <c r="Q49" s="7">
        <f>IF(OR(J49="",N49=""),"",IF(J49=N49,"sí","no"))</f>
        <v/>
      </c>
      <c r="R49" s="7">
        <f>IF(OR(K49="",O49=""),"",IF(K49=O49,"sí","no"))</f>
        <v/>
      </c>
      <c r="S49" s="9" t="inlineStr"/>
      <c r="T49" s="9" t="inlineStr"/>
      <c r="U49" s="9" t="inlineStr"/>
    </row>
    <row r="50" ht="60" customHeight="1">
      <c r="A50" s="7" t="inlineStr">
        <is>
          <t>CUR-049</t>
        </is>
      </c>
      <c r="B50" s="7" t="inlineStr">
        <is>
          <t>rajar</t>
        </is>
      </c>
      <c r="C50" s="7" t="inlineStr">
        <is>
          <t>utilizado en situaciones en las cuales debes irte muy rapido, inmediatamente porque tenes alguna obligacion, porque te mandaste alguna cagada, etc.</t>
        </is>
      </c>
      <c r="D50" s="8" t="inlineStr">
        <is>
          <t>diccionarioargentino.com</t>
        </is>
      </c>
      <c r="E50" s="7" t="inlineStr">
        <is>
          <t>Y apoliyar es dormirse / Rajar o piantarse es irse / Y esto lo manya cualquiera</t>
        </is>
      </c>
      <c r="F50" s="7" t="inlineStr">
        <is>
          <t>Milonga Lunfarda · Edmundo Rivero (1972)</t>
        </is>
      </c>
      <c r="G50" s="7" t="inlineStr">
        <is>
          <t>Si los cacha, los da vuelta / No les da tiempo a rajar / ¡Lo que más bronca me da</t>
        </is>
      </c>
      <c r="H50" s="7" t="inlineStr">
        <is>
          <t>Chorra · Edmundo Rivero (1959)</t>
        </is>
      </c>
      <c r="I50" s="9" t="inlineStr"/>
      <c r="J50" s="9" t="inlineStr"/>
      <c r="K50" s="9" t="inlineStr"/>
      <c r="L50" s="9" t="inlineStr"/>
      <c r="M50" s="9" t="inlineStr"/>
      <c r="N50" s="9" t="inlineStr"/>
      <c r="O50" s="9" t="inlineStr"/>
      <c r="P50" s="9" t="inlineStr"/>
      <c r="Q50" s="7">
        <f>IF(OR(J50="",N50=""),"",IF(J50=N50,"sí","no"))</f>
        <v/>
      </c>
      <c r="R50" s="7">
        <f>IF(OR(K50="",O50=""),"",IF(K50=O50,"sí","no"))</f>
        <v/>
      </c>
      <c r="S50" s="9" t="inlineStr"/>
      <c r="T50" s="9" t="inlineStr"/>
      <c r="U50" s="9" t="inlineStr"/>
    </row>
    <row r="51" ht="60" customHeight="1">
      <c r="A51" s="7" t="inlineStr">
        <is>
          <t>CUR-050</t>
        </is>
      </c>
      <c r="B51" s="7" t="inlineStr">
        <is>
          <t>cien</t>
        </is>
      </c>
      <c r="C51" s="7" t="inlineStr">
        <is>
          <t>Signo o signos usados para representar al número que tiene cien unidades.</t>
        </is>
      </c>
      <c r="D51" s="7" t="inlineStr">
        <is>
          <t>Wikcionario</t>
        </is>
      </c>
      <c r="E51" s="7" t="inlineStr">
        <is>
          <t>Quiero despertar y estar contigo de viaje / Y que los billetes de cien dolares caigan del traje / La nena quiere una Ferrari de carruaje (Ey)</t>
        </is>
      </c>
      <c r="F51" s="7" t="inlineStr">
        <is>
          <t>Nena · Zaramay (2018)</t>
        </is>
      </c>
      <c r="G51" s="7" t="inlineStr">
        <is>
          <t>Sé frontear, pero no exagero / Llegué a cien, vine desde cero / Dólare' desde el extranjero</t>
        </is>
      </c>
      <c r="H51" s="7" t="inlineStr">
        <is>
          <t>GIVENCHY · Duki (2022)</t>
        </is>
      </c>
      <c r="I51" s="9" t="inlineStr"/>
      <c r="J51" s="9" t="inlineStr"/>
      <c r="K51" s="9" t="inlineStr"/>
      <c r="L51" s="9" t="inlineStr"/>
      <c r="M51" s="9" t="inlineStr"/>
      <c r="N51" s="9" t="inlineStr"/>
      <c r="O51" s="9" t="inlineStr"/>
      <c r="P51" s="9" t="inlineStr"/>
      <c r="Q51" s="7">
        <f>IF(OR(J51="",N51=""),"",IF(J51=N51,"sí","no"))</f>
        <v/>
      </c>
      <c r="R51" s="7">
        <f>IF(OR(K51="",O51=""),"",IF(K51=O51,"sí","no"))</f>
        <v/>
      </c>
      <c r="S51" s="9" t="inlineStr"/>
      <c r="T51" s="9" t="inlineStr"/>
      <c r="U51" s="9" t="inlineStr"/>
    </row>
    <row r="52" ht="45" customHeight="1">
      <c r="A52" s="7" t="inlineStr">
        <is>
          <t>CUR-051</t>
        </is>
      </c>
      <c r="B52" s="7" t="inlineStr">
        <is>
          <t>boca</t>
        </is>
      </c>
      <c r="C52" s="7" t="inlineStr">
        <is>
          <t>Abertura anterior del tubo digestivo de los animales, por el cual se ingieren los alimentos.</t>
        </is>
      </c>
      <c r="D52" s="7" t="inlineStr">
        <is>
          <t>Wikcionario</t>
        </is>
      </c>
      <c r="E52" s="7" t="inlineStr">
        <is>
          <t>Pero si un mirar me hiere al pasar / Su boca de fuego, otra vez, quiero besar / Basta de carreras, se acabó la timba</t>
        </is>
      </c>
      <c r="F52" s="7" t="inlineStr">
        <is>
          <t>Por Una Cabeza · Carlos Gardel (1935)</t>
        </is>
      </c>
      <c r="G52" s="7" t="inlineStr">
        <is>
          <t>Leguisamo, mi nariz es puntiaguda / La figura no me ayuda y mi boca es un buzón / Si charlo con Luis, con Pedro o con Juan</t>
        </is>
      </c>
      <c r="H52" s="7" t="inlineStr">
        <is>
          <t>Se Dice de Mí · Tita Merello (1955)</t>
        </is>
      </c>
      <c r="I52" s="9" t="inlineStr"/>
      <c r="J52" s="9" t="inlineStr"/>
      <c r="K52" s="9" t="inlineStr"/>
      <c r="L52" s="9" t="inlineStr"/>
      <c r="M52" s="9" t="inlineStr"/>
      <c r="N52" s="9" t="inlineStr"/>
      <c r="O52" s="9" t="inlineStr"/>
      <c r="P52" s="9" t="inlineStr"/>
      <c r="Q52" s="7">
        <f>IF(OR(J52="",N52=""),"",IF(J52=N52,"sí","no"))</f>
        <v/>
      </c>
      <c r="R52" s="7">
        <f>IF(OR(K52="",O52=""),"",IF(K52=O52,"sí","no"))</f>
        <v/>
      </c>
      <c r="S52" s="9" t="inlineStr"/>
      <c r="T52" s="9" t="inlineStr"/>
      <c r="U52" s="9" t="inlineStr"/>
    </row>
    <row r="53" ht="30" customHeight="1">
      <c r="A53" s="7" t="inlineStr">
        <is>
          <t>CUR-052</t>
        </is>
      </c>
      <c r="B53" s="7" t="inlineStr">
        <is>
          <t>percanta</t>
        </is>
      </c>
      <c r="C53" s="7" t="inlineStr">
        <is>
          <t>Mujer o mina, puede que se use con connotacion negativa</t>
        </is>
      </c>
      <c r="D53" s="8" t="inlineStr">
        <is>
          <t>diccionarioargentino.com</t>
        </is>
      </c>
      <c r="E53" s="7" t="inlineStr">
        <is>
          <t>Letra de "Mi Noche Triste" / Percanta que me amuraste / En lo mejor de mi vida</t>
        </is>
      </c>
      <c r="F53" s="7" t="inlineStr">
        <is>
          <t>Mi noche triste · Carlos Gardel (1917)</t>
        </is>
      </c>
      <c r="G53" s="7" t="inlineStr">
        <is>
          <t>Mi noche triste alumbrar / Percanta que me amuraste / En lo mejor de mi vida</t>
        </is>
      </c>
      <c r="H53" s="7" t="inlineStr">
        <is>
          <t>Mi noche triste · Carlos Gardel (1917)</t>
        </is>
      </c>
      <c r="I53" s="9" t="inlineStr"/>
      <c r="J53" s="9" t="inlineStr"/>
      <c r="K53" s="9" t="inlineStr"/>
      <c r="L53" s="9" t="inlineStr"/>
      <c r="M53" s="9" t="inlineStr"/>
      <c r="N53" s="9" t="inlineStr"/>
      <c r="O53" s="9" t="inlineStr"/>
      <c r="P53" s="9" t="inlineStr"/>
      <c r="Q53" s="7">
        <f>IF(OR(J53="",N53=""),"",IF(J53=N53,"sí","no"))</f>
        <v/>
      </c>
      <c r="R53" s="7">
        <f>IF(OR(K53="",O53=""),"",IF(K53=O53,"sí","no"))</f>
        <v/>
      </c>
      <c r="S53" s="9" t="inlineStr"/>
      <c r="T53" s="9" t="inlineStr"/>
      <c r="U53" s="9" t="inlineStr"/>
    </row>
    <row r="54" ht="45" customHeight="1">
      <c r="A54" s="7" t="inlineStr">
        <is>
          <t>CUR-053</t>
        </is>
      </c>
      <c r="B54" s="7" t="inlineStr">
        <is>
          <t>paciencia</t>
        </is>
      </c>
      <c r="C54" s="7" t="inlineStr">
        <is>
          <t>Calma en la realización de alguna actividad.</t>
        </is>
      </c>
      <c r="D54" s="7" t="inlineStr">
        <is>
          <t>Wikcionario</t>
        </is>
      </c>
      <c r="E54" s="7" t="inlineStr">
        <is>
          <t>Se tragaron, vos, la “viuda” y el “guerrero” / Lo que me costó diez años de paciencia y de yugar / ¡Chorros!...</t>
        </is>
      </c>
      <c r="F54" s="7" t="inlineStr">
        <is>
          <t>Chorra · Edmundo Rivero (1959)</t>
        </is>
      </c>
      <c r="G54" s="7" t="inlineStr">
        <is>
          <t>Vieja no me va a querer; / En Europa y con paciencia / Me podrán embellecer"</t>
        </is>
      </c>
      <c r="H54" s="7" t="inlineStr">
        <is>
          <t>Manuelita La Tortuga · María Elena Walsh (1964)</t>
        </is>
      </c>
      <c r="I54" s="9" t="inlineStr"/>
      <c r="J54" s="9" t="inlineStr"/>
      <c r="K54" s="9" t="inlineStr"/>
      <c r="L54" s="9" t="inlineStr"/>
      <c r="M54" s="9" t="inlineStr"/>
      <c r="N54" s="9" t="inlineStr"/>
      <c r="O54" s="9" t="inlineStr"/>
      <c r="P54" s="9" t="inlineStr"/>
      <c r="Q54" s="7">
        <f>IF(OR(J54="",N54=""),"",IF(J54=N54,"sí","no"))</f>
        <v/>
      </c>
      <c r="R54" s="7">
        <f>IF(OR(K54="",O54=""),"",IF(K54=O54,"sí","no"))</f>
        <v/>
      </c>
      <c r="S54" s="9" t="inlineStr"/>
      <c r="T54" s="9" t="inlineStr"/>
      <c r="U54" s="9" t="inlineStr"/>
    </row>
    <row r="55" ht="60" customHeight="1">
      <c r="A55" s="7" t="inlineStr">
        <is>
          <t>CUR-054</t>
        </is>
      </c>
      <c r="B55" s="7" t="inlineStr">
        <is>
          <t>pelar</t>
        </is>
      </c>
      <c r="C55" s="7" t="inlineStr">
        <is>
          <t>Dejar pelado a alguien, gastar o quitar todo el dinero.</t>
        </is>
      </c>
      <c r="D55" s="7" t="inlineStr">
        <is>
          <t>Wikcionario</t>
        </is>
      </c>
      <c r="E55" s="7" t="inlineStr">
        <is>
          <t>Malandrín y estafador / Entre todos me pelaron con la cero / Tu silueta fue el anzuelo, donde yo me fui a ensartar</t>
        </is>
      </c>
      <c r="F55" s="7" t="inlineStr">
        <is>
          <t>Chorra · Edmundo Rivero (1959)</t>
        </is>
      </c>
      <c r="G55" s="7" t="inlineStr">
        <is>
          <t>porque su vida no es interesante (Ey) / Pa' tomar una Coca antes pelábamos el cobre / Y ahora por nuestra coca mandan el dinero en sobre</t>
        </is>
      </c>
      <c r="H55" s="7" t="inlineStr">
        <is>
          <t>Nena · Zaramay (2018)</t>
        </is>
      </c>
      <c r="I55" s="9" t="inlineStr"/>
      <c r="J55" s="9" t="inlineStr"/>
      <c r="K55" s="9" t="inlineStr"/>
      <c r="L55" s="9" t="inlineStr"/>
      <c r="M55" s="9" t="inlineStr"/>
      <c r="N55" s="9" t="inlineStr"/>
      <c r="O55" s="9" t="inlineStr"/>
      <c r="P55" s="9" t="inlineStr"/>
      <c r="Q55" s="7">
        <f>IF(OR(J55="",N55=""),"",IF(J55=N55,"sí","no"))</f>
        <v/>
      </c>
      <c r="R55" s="7">
        <f>IF(OR(K55="",O55=""),"",IF(K55=O55,"sí","no"))</f>
        <v/>
      </c>
      <c r="S55" s="9" t="inlineStr"/>
      <c r="T55" s="9" t="inlineStr"/>
      <c r="U55" s="9" t="inlineStr"/>
    </row>
    <row r="56" ht="75" customHeight="1">
      <c r="A56" s="7" t="inlineStr">
        <is>
          <t>CUR-055</t>
        </is>
      </c>
      <c r="B56" s="7" t="inlineStr">
        <is>
          <t>vacío</t>
        </is>
      </c>
      <c r="C56" s="7" t="inlineStr">
        <is>
          <t>Corte de carne tomado del vientre del vacuno, desde la parte posterior de la última costilla hasta la articulación del anca. Es una carne magra y tierna, empleada con frecuencia para el asado.</t>
        </is>
      </c>
      <c r="D56" s="7" t="inlineStr">
        <is>
          <t>Wikcionario</t>
        </is>
      </c>
      <c r="E56" s="7" t="inlineStr">
        <is>
          <t>Es para valientes que van por más! / El vacío que llevamos se agranda / Dentro de nuestro interior</t>
        </is>
      </c>
      <c r="F56" s="7" t="inlineStr">
        <is>
          <t>El Manual De Las Derrotas · Carajo (2019)</t>
        </is>
      </c>
      <c r="G56" s="7" t="inlineStr">
        <is>
          <t>en esta vida se me ha complicado (Oh-oh-oh) / Por eso me siento vacío y un poco frustrado (Oh-oh-oh) / Me siento mal, ya no sé ni</t>
        </is>
      </c>
      <c r="H56" s="7" t="inlineStr">
        <is>
          <t>U.S.A · LiL CaKe (2020)</t>
        </is>
      </c>
      <c r="I56" s="9" t="inlineStr"/>
      <c r="J56" s="9" t="inlineStr"/>
      <c r="K56" s="9" t="inlineStr"/>
      <c r="L56" s="9" t="inlineStr"/>
      <c r="M56" s="9" t="inlineStr"/>
      <c r="N56" s="9" t="inlineStr"/>
      <c r="O56" s="9" t="inlineStr"/>
      <c r="P56" s="9" t="inlineStr"/>
      <c r="Q56" s="7">
        <f>IF(OR(J56="",N56=""),"",IF(J56=N56,"sí","no"))</f>
        <v/>
      </c>
      <c r="R56" s="7">
        <f>IF(OR(K56="",O56=""),"",IF(K56=O56,"sí","no"))</f>
        <v/>
      </c>
      <c r="S56" s="9" t="inlineStr"/>
      <c r="T56" s="9" t="inlineStr"/>
      <c r="U56" s="9" t="inlineStr"/>
    </row>
    <row r="57" ht="60" customHeight="1">
      <c r="A57" s="7" t="inlineStr">
        <is>
          <t>CUR-056</t>
        </is>
      </c>
      <c r="B57" s="7" t="inlineStr">
        <is>
          <t>acá</t>
        </is>
      </c>
      <c r="C57" s="7" t="inlineStr">
        <is>
          <t>Residuo sólido indigerible del bolo alimenticio, que se excreta a través del ano.</t>
        </is>
      </c>
      <c r="D57" s="7" t="inlineStr">
        <is>
          <t>Wikcionario</t>
        </is>
      </c>
      <c r="E57" s="7" t="inlineStr">
        <is>
          <t>Zaramay, negro, es mi nombre, por si van a matarme / Pero acá si somos hombres, y hacemos correr la sangre / Hablame de verdes, de billetes,</t>
        </is>
      </c>
      <c r="F57" s="7" t="inlineStr">
        <is>
          <t>Freestyle Session #5 · Zaramay (2019)</t>
        </is>
      </c>
      <c r="G57" s="7" t="inlineStr">
        <is>
          <t>Y no es que no la escucho por ser malcriado / Es que acá todos mienten y soy desconfiado / Que me mame el bicho, estoy malandrizado</t>
        </is>
      </c>
      <c r="H57" s="7" t="inlineStr">
        <is>
          <t>Hello Cotto · Duki (2017)</t>
        </is>
      </c>
      <c r="I57" s="9" t="inlineStr"/>
      <c r="J57" s="9" t="inlineStr"/>
      <c r="K57" s="9" t="inlineStr"/>
      <c r="L57" s="9" t="inlineStr"/>
      <c r="M57" s="9" t="inlineStr"/>
      <c r="N57" s="9" t="inlineStr"/>
      <c r="O57" s="9" t="inlineStr"/>
      <c r="P57" s="9" t="inlineStr"/>
      <c r="Q57" s="7">
        <f>IF(OR(J57="",N57=""),"",IF(J57=N57,"sí","no"))</f>
        <v/>
      </c>
      <c r="R57" s="7">
        <f>IF(OR(K57="",O57=""),"",IF(K57=O57,"sí","no"))</f>
        <v/>
      </c>
      <c r="S57" s="9" t="inlineStr"/>
      <c r="T57" s="9" t="inlineStr"/>
      <c r="U57" s="9" t="inlineStr"/>
    </row>
    <row r="58" ht="60" customHeight="1">
      <c r="A58" s="7" t="inlineStr">
        <is>
          <t>CUR-057</t>
        </is>
      </c>
      <c r="B58" s="7" t="inlineStr">
        <is>
          <t>manzana</t>
        </is>
      </c>
      <c r="C58" s="7" t="inlineStr">
        <is>
          <t>1• Se usa para afirmar algo, sinónimo de la palabra 'sí'. 2• También se usa para responder con sarcasmo algo que resulta ser obvio.</t>
        </is>
      </c>
      <c r="D58" s="8" t="inlineStr">
        <is>
          <t>diccionarioargentino.com</t>
        </is>
      </c>
      <c r="E58" s="7" t="inlineStr">
        <is>
          <t>Lento beso al partir / Tibias manzanas / Al sol robadas</t>
        </is>
      </c>
      <c r="F58" s="7" t="inlineStr">
        <is>
          <t>Alas de la Mañana · Lito Epumer (2004)</t>
        </is>
      </c>
      <c r="G58" s="7" t="inlineStr">
        <is>
          <t>a tu casa a conocer a tus parientes / Tu culo es la manzana, tu lengua es de serpiente / Tu piel es la más suave y</t>
        </is>
      </c>
      <c r="H58" s="7" t="inlineStr">
        <is>
          <t>Muñecas · Dillom (2024)</t>
        </is>
      </c>
      <c r="I58" s="9" t="inlineStr"/>
      <c r="J58" s="9" t="inlineStr"/>
      <c r="K58" s="9" t="inlineStr"/>
      <c r="L58" s="9" t="inlineStr"/>
      <c r="M58" s="9" t="inlineStr"/>
      <c r="N58" s="9" t="inlineStr"/>
      <c r="O58" s="9" t="inlineStr"/>
      <c r="P58" s="9" t="inlineStr"/>
      <c r="Q58" s="7">
        <f>IF(OR(J58="",N58=""),"",IF(J58=N58,"sí","no"))</f>
        <v/>
      </c>
      <c r="R58" s="7">
        <f>IF(OR(K58="",O58=""),"",IF(K58=O58,"sí","no"))</f>
        <v/>
      </c>
      <c r="S58" s="9" t="inlineStr"/>
      <c r="T58" s="9" t="inlineStr"/>
      <c r="U58" s="9" t="inlineStr"/>
    </row>
    <row r="59" ht="60" customHeight="1">
      <c r="A59" s="7" t="inlineStr">
        <is>
          <t>CUR-058</t>
        </is>
      </c>
      <c r="B59" s="7" t="inlineStr">
        <is>
          <t>fumar</t>
        </is>
      </c>
      <c r="C59" s="7" t="inlineStr">
        <is>
          <t>Coloq. Véase soportar, aguantar</t>
        </is>
      </c>
      <c r="D59" s="8" t="inlineStr">
        <is>
          <t>diccionarioargentino.com</t>
        </is>
      </c>
      <c r="E59" s="7" t="inlineStr">
        <is>
          <t>gente habla de más, solo es porque responde el vivo / ¿De que fumo mucho porro?, ¿que me gusta el efectivo? / Todo bien, pero ustedes siguen</t>
        </is>
      </c>
      <c r="F59" s="7" t="inlineStr">
        <is>
          <t>Freestyle Session #5 · Zaramay (2019)</t>
        </is>
      </c>
      <c r="G59" s="7" t="inlineStr">
        <is>
          <t>Yo te quiero corazon y no te tengo rencor / Fumo del malo y del bueno / Veo pasar el tiempo soñando lo que quiero</t>
        </is>
      </c>
      <c r="H59" s="7" t="inlineStr">
        <is>
          <t>Plantala · Kumbia Queers (2015)</t>
        </is>
      </c>
      <c r="I59" s="9" t="inlineStr"/>
      <c r="J59" s="9" t="inlineStr"/>
      <c r="K59" s="9" t="inlineStr"/>
      <c r="L59" s="9" t="inlineStr"/>
      <c r="M59" s="9" t="inlineStr"/>
      <c r="N59" s="9" t="inlineStr"/>
      <c r="O59" s="9" t="inlineStr"/>
      <c r="P59" s="9" t="inlineStr"/>
      <c r="Q59" s="7">
        <f>IF(OR(J59="",N59=""),"",IF(J59=N59,"sí","no"))</f>
        <v/>
      </c>
      <c r="R59" s="7">
        <f>IF(OR(K59="",O59=""),"",IF(K59=O59,"sí","no"))</f>
        <v/>
      </c>
      <c r="S59" s="9" t="inlineStr"/>
      <c r="T59" s="9" t="inlineStr"/>
      <c r="U59" s="9" t="inlineStr"/>
    </row>
    <row r="60" ht="30" customHeight="1">
      <c r="A60" s="7" t="inlineStr">
        <is>
          <t>CUR-059</t>
        </is>
      </c>
      <c r="B60" s="7" t="inlineStr">
        <is>
          <t>pintar</t>
        </is>
      </c>
      <c r="C60" s="7" t="inlineStr">
        <is>
          <t>Alude a una situación, idea, acción o cosa oportuna.</t>
        </is>
      </c>
      <c r="D60" s="8" t="inlineStr">
        <is>
          <t>diccionarioargentino.com</t>
        </is>
      </c>
      <c r="E60" s="7" t="inlineStr">
        <is>
          <t>En la tintorería de París / La pintaron con barniz / La plancharon en francés</t>
        </is>
      </c>
      <c r="F60" s="7" t="inlineStr">
        <is>
          <t>Manuelita La Tortuga · María Elena Walsh (1964)</t>
        </is>
      </c>
      <c r="G60" s="7" t="inlineStr">
        <is>
          <t>Amores en canciones / Pinte muchos vagones / Por eso grabo hitones</t>
        </is>
      </c>
      <c r="H60" s="7" t="inlineStr">
        <is>
          <t>Oro Puro · 808god (2020)</t>
        </is>
      </c>
      <c r="I60" s="9" t="inlineStr"/>
      <c r="J60" s="9" t="inlineStr"/>
      <c r="K60" s="9" t="inlineStr"/>
      <c r="L60" s="9" t="inlineStr"/>
      <c r="M60" s="9" t="inlineStr"/>
      <c r="N60" s="9" t="inlineStr"/>
      <c r="O60" s="9" t="inlineStr"/>
      <c r="P60" s="9" t="inlineStr"/>
      <c r="Q60" s="7">
        <f>IF(OR(J60="",N60=""),"",IF(J60=N60,"sí","no"))</f>
        <v/>
      </c>
      <c r="R60" s="7">
        <f>IF(OR(K60="",O60=""),"",IF(K60=O60,"sí","no"))</f>
        <v/>
      </c>
      <c r="S60" s="9" t="inlineStr"/>
      <c r="T60" s="9" t="inlineStr"/>
      <c r="U60" s="9" t="inlineStr"/>
    </row>
    <row r="61" ht="45" customHeight="1">
      <c r="A61" s="7" t="inlineStr">
        <is>
          <t>CUR-060</t>
        </is>
      </c>
      <c r="B61" s="7" t="inlineStr">
        <is>
          <t>cero</t>
        </is>
      </c>
      <c r="C61" s="7" t="inlineStr">
        <is>
          <t>Nombre del número 0.</t>
        </is>
      </c>
      <c r="D61" s="7" t="inlineStr">
        <is>
          <t>Wikcionario</t>
        </is>
      </c>
      <c r="E61" s="7" t="inlineStr">
        <is>
          <t>Malandrín y estafador / Entre todos me pelaron con la cero / Tu silueta fue el anzuelo, donde yo me fui a ensartar</t>
        </is>
      </c>
      <c r="F61" s="7" t="inlineStr">
        <is>
          <t>Chorra · Edmundo Rivero (1959)</t>
        </is>
      </c>
      <c r="G61" s="7" t="inlineStr">
        <is>
          <t>Sé frontear, pero no exagero / Llegué a cien, vine desde cero / Dólare' desde el extranjero</t>
        </is>
      </c>
      <c r="H61" s="7" t="inlineStr">
        <is>
          <t>GIVENCHY · Duki (2022)</t>
        </is>
      </c>
      <c r="I61" s="9" t="inlineStr"/>
      <c r="J61" s="9" t="inlineStr"/>
      <c r="K61" s="9" t="inlineStr"/>
      <c r="L61" s="9" t="inlineStr"/>
      <c r="M61" s="9" t="inlineStr"/>
      <c r="N61" s="9" t="inlineStr"/>
      <c r="O61" s="9" t="inlineStr"/>
      <c r="P61" s="9" t="inlineStr"/>
      <c r="Q61" s="7">
        <f>IF(OR(J61="",N61=""),"",IF(J61=N61,"sí","no"))</f>
        <v/>
      </c>
      <c r="R61" s="7">
        <f>IF(OR(K61="",O61=""),"",IF(K61=O61,"sí","no"))</f>
        <v/>
      </c>
      <c r="S61" s="9" t="inlineStr"/>
      <c r="T61" s="9" t="inlineStr"/>
      <c r="U61" s="9" t="inlineStr"/>
    </row>
    <row r="62" ht="45" customHeight="1">
      <c r="A62" s="7" t="inlineStr">
        <is>
          <t>CUR-061</t>
        </is>
      </c>
      <c r="B62" s="7" t="inlineStr">
        <is>
          <t>labio</t>
        </is>
      </c>
      <c r="C62" s="7" t="inlineStr">
        <is>
          <t>Parte del cuerpo que se parece a un labio₁, como el borde de una herida o las partes de los órganos genitales.</t>
        </is>
      </c>
      <c r="D62" s="7" t="inlineStr">
        <is>
          <t>Wikcionario</t>
        </is>
      </c>
      <c r="E62" s="7" t="inlineStr">
        <is>
          <t>Que la tierra pidió / Labios, sed, cautividad / Mar, vendimia, gravedad</t>
        </is>
      </c>
      <c r="F62" s="7" t="inlineStr">
        <is>
          <t>Alas de la Mañana · Lito Epumer (2004)</t>
        </is>
      </c>
      <c r="G62" s="7" t="inlineStr">
        <is>
          <t>tu lengua es de serpiente / Tu piel es la más suave y tus labios son crujientes / Si fueras una escort, yo sería tu mejor cliente</t>
        </is>
      </c>
      <c r="H62" s="7" t="inlineStr">
        <is>
          <t>Muñecas · Dillom (2024)</t>
        </is>
      </c>
      <c r="I62" s="9" t="inlineStr"/>
      <c r="J62" s="9" t="inlineStr"/>
      <c r="K62" s="9" t="inlineStr"/>
      <c r="L62" s="9" t="inlineStr"/>
      <c r="M62" s="9" t="inlineStr"/>
      <c r="N62" s="9" t="inlineStr"/>
      <c r="O62" s="9" t="inlineStr"/>
      <c r="P62" s="9" t="inlineStr"/>
      <c r="Q62" s="7">
        <f>IF(OR(J62="",N62=""),"",IF(J62=N62,"sí","no"))</f>
        <v/>
      </c>
      <c r="R62" s="7">
        <f>IF(OR(K62="",O62=""),"",IF(K62=O62,"sí","no"))</f>
        <v/>
      </c>
      <c r="S62" s="9" t="inlineStr"/>
      <c r="T62" s="9" t="inlineStr"/>
      <c r="U62" s="9" t="inlineStr"/>
    </row>
    <row r="63" ht="45" customHeight="1">
      <c r="A63" s="7" t="inlineStr">
        <is>
          <t>CUR-062</t>
        </is>
      </c>
      <c r="B63" s="7" t="inlineStr">
        <is>
          <t>rojo</t>
        </is>
      </c>
      <c r="C63" s="7" t="inlineStr">
        <is>
          <t>Que pertenece o concierne al Club Atlético Independiente, o es hincha de este equipo argentino.</t>
        </is>
      </c>
      <c r="D63" s="7" t="inlineStr">
        <is>
          <t>Wikcionario</t>
        </is>
      </c>
      <c r="E63" s="7" t="inlineStr">
        <is>
          <t>Se pierde / Tu boca tan roja / Se enciende</t>
        </is>
      </c>
      <c r="F63" s="7" t="inlineStr">
        <is>
          <t>A través de todo · Francisco Bochatón</t>
        </is>
      </c>
      <c r="G63" s="7" t="inlineStr">
        <is>
          <t>Que eras el vestigio del futuro / Rojas y verdes luces del amor / Prestidigitan bajo un halo de rouge</t>
        </is>
      </c>
      <c r="H63" s="7" t="inlineStr">
        <is>
          <t>Los Libros de la Buena Memoria · Lito Vitale (2006)</t>
        </is>
      </c>
      <c r="I63" s="9" t="inlineStr"/>
      <c r="J63" s="9" t="inlineStr"/>
      <c r="K63" s="9" t="inlineStr"/>
      <c r="L63" s="9" t="inlineStr"/>
      <c r="M63" s="9" t="inlineStr"/>
      <c r="N63" s="9" t="inlineStr"/>
      <c r="O63" s="9" t="inlineStr"/>
      <c r="P63" s="9" t="inlineStr"/>
      <c r="Q63" s="7">
        <f>IF(OR(J63="",N63=""),"",IF(J63=N63,"sí","no"))</f>
        <v/>
      </c>
      <c r="R63" s="7">
        <f>IF(OR(K63="",O63=""),"",IF(K63=O63,"sí","no"))</f>
        <v/>
      </c>
      <c r="S63" s="9" t="inlineStr"/>
      <c r="T63" s="9" t="inlineStr"/>
      <c r="U63" s="9" t="inlineStr"/>
    </row>
    <row r="64" ht="45" customHeight="1">
      <c r="A64" s="7" t="inlineStr">
        <is>
          <t>CUR-063</t>
        </is>
      </c>
      <c r="B64" s="7" t="inlineStr">
        <is>
          <t>trap</t>
        </is>
      </c>
      <c r="C64" s="7" t="inlineStr">
        <is>
          <t>Subgénero del Rap.</t>
        </is>
      </c>
      <c r="D64" s="8" t="inlineStr">
        <is>
          <t>diccionarioargentino.com</t>
        </is>
      </c>
      <c r="E64" s="7" t="inlineStr">
        <is>
          <t>Porque sé que mañana con Agustín cenas / Lo mismo dije con el trap, me comeré la escena (Ey) / No le temo a la muerte, tengo</t>
        </is>
      </c>
      <c r="F64" s="7" t="inlineStr">
        <is>
          <t>Nena · Zaramay (2018)</t>
        </is>
      </c>
      <c r="G64" s="7" t="inlineStr">
        <is>
          <t>ahora hay tantas mujere' que por la noche me llaman / Esto del trap me incomoda porque toda' me la maman / Yo arriba y tú de</t>
        </is>
      </c>
      <c r="H64" s="7" t="inlineStr">
        <is>
          <t>Oye Baby · Zaramay (2020)</t>
        </is>
      </c>
      <c r="I64" s="9" t="inlineStr"/>
      <c r="J64" s="9" t="inlineStr"/>
      <c r="K64" s="9" t="inlineStr"/>
      <c r="L64" s="9" t="inlineStr"/>
      <c r="M64" s="9" t="inlineStr"/>
      <c r="N64" s="9" t="inlineStr"/>
      <c r="O64" s="9" t="inlineStr"/>
      <c r="P64" s="9" t="inlineStr"/>
      <c r="Q64" s="7">
        <f>IF(OR(J64="",N64=""),"",IF(J64=N64,"sí","no"))</f>
        <v/>
      </c>
      <c r="R64" s="7">
        <f>IF(OR(K64="",O64=""),"",IF(K64=O64,"sí","no"))</f>
        <v/>
      </c>
      <c r="S64" s="9" t="inlineStr"/>
      <c r="T64" s="9" t="inlineStr"/>
      <c r="U64" s="9" t="inlineStr"/>
    </row>
    <row r="65" ht="45" customHeight="1">
      <c r="A65" s="7" t="inlineStr">
        <is>
          <t>CUR-064</t>
        </is>
      </c>
      <c r="B65" s="7" t="inlineStr">
        <is>
          <t>chorro</t>
        </is>
      </c>
      <c r="C65" s="7" t="inlineStr">
        <is>
          <t>Persona que ha robado, ladron, delincuente</t>
        </is>
      </c>
      <c r="D65" s="8" t="inlineStr">
        <is>
          <t>diccionarioargentino.com</t>
        </is>
      </c>
      <c r="E65" s="7" t="inlineStr">
        <is>
          <t>Lo que me costó diez años de paciencia y de yugar / ¡Chorros!... / Vos, tu vieja y tu papá</t>
        </is>
      </c>
      <c r="F65" s="7" t="inlineStr">
        <is>
          <t>Chorra · Edmundo Rivero (1959)</t>
        </is>
      </c>
      <c r="G65" s="7" t="inlineStr">
        <is>
          <t>El que roba es el que afana / El chorro, un vulgar ladrón / Al zonzo, llaman chabón</t>
        </is>
      </c>
      <c r="H65" s="7" t="inlineStr">
        <is>
          <t>Milonga Lunfarda · Edmundo Rivero (1972)</t>
        </is>
      </c>
      <c r="I65" s="9" t="inlineStr"/>
      <c r="J65" s="9" t="inlineStr"/>
      <c r="K65" s="9" t="inlineStr"/>
      <c r="L65" s="9" t="inlineStr"/>
      <c r="M65" s="9" t="inlineStr"/>
      <c r="N65" s="9" t="inlineStr"/>
      <c r="O65" s="9" t="inlineStr"/>
      <c r="P65" s="9" t="inlineStr"/>
      <c r="Q65" s="7">
        <f>IF(OR(J65="",N65=""),"",IF(J65=N65,"sí","no"))</f>
        <v/>
      </c>
      <c r="R65" s="7">
        <f>IF(OR(K65="",O65=""),"",IF(K65=O65,"sí","no"))</f>
        <v/>
      </c>
      <c r="S65" s="9" t="inlineStr"/>
      <c r="T65" s="9" t="inlineStr"/>
      <c r="U65" s="9" t="inlineStr"/>
    </row>
    <row r="66" ht="60" customHeight="1">
      <c r="A66" s="7" t="inlineStr">
        <is>
          <t>CUR-065</t>
        </is>
      </c>
      <c r="B66" s="7" t="inlineStr">
        <is>
          <t>reír</t>
        </is>
      </c>
      <c r="C66" s="7" t="inlineStr">
        <is>
          <t>Reírse (emitir sonidos de alegría con la boca).</t>
        </is>
      </c>
      <c r="D66" s="7" t="inlineStr">
        <is>
          <t>Wikcionario</t>
        </is>
      </c>
      <c r="E66" s="7" t="inlineStr">
        <is>
          <t>Acaricia mi ensueño, el suave murmullo de tu suspirar / Como ríe la vida si tus ojos negros me quieren mirar / Y si es mío el</t>
        </is>
      </c>
      <c r="F66" s="7" t="inlineStr">
        <is>
          <t>El Dia Que Me Quieras · Carlos Gardel (1934)</t>
        </is>
      </c>
      <c r="G66" s="7" t="inlineStr">
        <is>
          <t>Y una banderita de taxi libre levantada en cada mano / Te reís, pero solo vos me ves / Porque los maniquíes me guiñan, los semáforos me</t>
        </is>
      </c>
      <c r="H66" s="7" t="inlineStr">
        <is>
          <t>Balada Para un Loco · Roberto Goyeneche (1969)</t>
        </is>
      </c>
      <c r="I66" s="9" t="inlineStr"/>
      <c r="J66" s="9" t="inlineStr"/>
      <c r="K66" s="9" t="inlineStr"/>
      <c r="L66" s="9" t="inlineStr"/>
      <c r="M66" s="9" t="inlineStr"/>
      <c r="N66" s="9" t="inlineStr"/>
      <c r="O66" s="9" t="inlineStr"/>
      <c r="P66" s="9" t="inlineStr"/>
      <c r="Q66" s="7">
        <f>IF(OR(J66="",N66=""),"",IF(J66=N66,"sí","no"))</f>
        <v/>
      </c>
      <c r="R66" s="7">
        <f>IF(OR(K66="",O66=""),"",IF(K66=O66,"sí","no"))</f>
        <v/>
      </c>
      <c r="S66" s="9" t="inlineStr"/>
      <c r="T66" s="9" t="inlineStr"/>
      <c r="U66" s="9" t="inlineStr"/>
    </row>
    <row r="67" ht="45" customHeight="1">
      <c r="A67" s="7" t="inlineStr">
        <is>
          <t>CUR-066</t>
        </is>
      </c>
      <c r="B67" s="7" t="inlineStr">
        <is>
          <t>quiebre</t>
        </is>
      </c>
      <c r="C67" s="7" t="inlineStr">
        <is>
          <t>breaking, break (action and effect of breaking)</t>
        </is>
      </c>
      <c r="D67" s="7" t="inlineStr">
        <is>
          <t>Wiktionary (en inglés)</t>
        </is>
      </c>
      <c r="E67" s="7" t="inlineStr">
        <is>
          <t>Hago que parezcan más viejo' que yo / Querían que quiebre, querían que enferme / Me puse más fuerte, me puse más jefe</t>
        </is>
      </c>
      <c r="F67" s="7" t="inlineStr">
        <is>
          <t>GIVENCHY · Duki (2022)</t>
        </is>
      </c>
      <c r="G67" s="7" t="inlineStr"/>
      <c r="H67" s="7" t="inlineStr"/>
      <c r="I67" s="9" t="inlineStr"/>
      <c r="J67" s="9" t="inlineStr"/>
      <c r="K67" s="9" t="inlineStr"/>
      <c r="L67" s="9" t="inlineStr"/>
      <c r="M67" s="9" t="inlineStr"/>
      <c r="N67" s="9" t="inlineStr"/>
      <c r="O67" s="9" t="inlineStr"/>
      <c r="P67" s="9" t="inlineStr"/>
      <c r="Q67" s="7">
        <f>IF(OR(J67="",N67=""),"",IF(J67=N67,"sí","no"))</f>
        <v/>
      </c>
      <c r="R67" s="7">
        <f>IF(OR(K67="",O67=""),"",IF(K67=O67,"sí","no"))</f>
        <v/>
      </c>
      <c r="S67" s="9" t="inlineStr"/>
      <c r="T67" s="9" t="inlineStr"/>
      <c r="U67" s="9" t="inlineStr"/>
    </row>
    <row r="68" ht="45" customHeight="1">
      <c r="A68" s="7" t="inlineStr">
        <is>
          <t>CUR-067</t>
        </is>
      </c>
      <c r="B68" s="7" t="inlineStr">
        <is>
          <t>plato</t>
        </is>
      </c>
      <c r="C68" s="7" t="inlineStr">
        <is>
          <t>Situación o persona divertida y alegre.</t>
        </is>
      </c>
      <c r="D68" s="7" t="inlineStr">
        <is>
          <t>Wikcionario</t>
        </is>
      </c>
      <c r="E68" s="7" t="inlineStr">
        <is>
          <t>Donde el pichón se cansó de esperar / Pone en el plato liebre por gato / Cosa que a todos nos puede pasar</t>
        </is>
      </c>
      <c r="F68" s="7" t="inlineStr">
        <is>
          <t>El Show Del Perro Salchicha · María Elena Walsh (1966)</t>
        </is>
      </c>
      <c r="G68" s="7" t="inlineStr">
        <is>
          <t>contrato' (Poh, poh) / Los fanes son los que van a llenar el plato / Y si no estoy contigo, el que te haga sufrir lo mato</t>
        </is>
      </c>
      <c r="H68" s="7" t="inlineStr">
        <is>
          <t>Nena · Zaramay (2018)</t>
        </is>
      </c>
      <c r="I68" s="9" t="inlineStr"/>
      <c r="J68" s="9" t="inlineStr"/>
      <c r="K68" s="9" t="inlineStr"/>
      <c r="L68" s="9" t="inlineStr"/>
      <c r="M68" s="9" t="inlineStr"/>
      <c r="N68" s="9" t="inlineStr"/>
      <c r="O68" s="9" t="inlineStr"/>
      <c r="P68" s="9" t="inlineStr"/>
      <c r="Q68" s="7">
        <f>IF(OR(J68="",N68=""),"",IF(J68=N68,"sí","no"))</f>
        <v/>
      </c>
      <c r="R68" s="7">
        <f>IF(OR(K68="",O68=""),"",IF(K68=O68,"sí","no"))</f>
        <v/>
      </c>
      <c r="S68" s="9" t="inlineStr"/>
      <c r="T68" s="9" t="inlineStr"/>
      <c r="U68" s="9" t="inlineStr"/>
    </row>
    <row r="69" ht="60" customHeight="1">
      <c r="A69" s="7" t="inlineStr">
        <is>
          <t>CUR-068</t>
        </is>
      </c>
      <c r="B69" s="7" t="inlineStr">
        <is>
          <t>quemar</t>
        </is>
      </c>
      <c r="C69" s="7" t="inlineStr">
        <is>
          <t>Fumar marihuana</t>
        </is>
      </c>
      <c r="D69" s="8" t="inlineStr">
        <is>
          <t>diccionarioargentino.com</t>
        </is>
      </c>
      <c r="E69" s="7" t="inlineStr">
        <is>
          <t>Que al jurar sonriendo, el amor que está mintiendo / Quema en una hoguera todo mi querer / Por una cabeza</t>
        </is>
      </c>
      <c r="F69" s="7" t="inlineStr">
        <is>
          <t>Por Una Cabeza · Carlos Gardel (1935)</t>
        </is>
      </c>
      <c r="G69" s="7" t="inlineStr">
        <is>
          <t>mi avenida (-nida) / Casi que la veo desde el balcón mientra' estoy quemando porquería / ¿Que quién me creo que soy? El mejor al meno' en</t>
        </is>
      </c>
      <c r="H69" s="7" t="inlineStr">
        <is>
          <t>Rockstar · Duki (2017)</t>
        </is>
      </c>
      <c r="I69" s="9" t="inlineStr"/>
      <c r="J69" s="9" t="inlineStr"/>
      <c r="K69" s="9" t="inlineStr"/>
      <c r="L69" s="9" t="inlineStr"/>
      <c r="M69" s="9" t="inlineStr"/>
      <c r="N69" s="9" t="inlineStr"/>
      <c r="O69" s="9" t="inlineStr"/>
      <c r="P69" s="9" t="inlineStr"/>
      <c r="Q69" s="7">
        <f>IF(OR(J69="",N69=""),"",IF(J69=N69,"sí","no"))</f>
        <v/>
      </c>
      <c r="R69" s="7">
        <f>IF(OR(K69="",O69=""),"",IF(K69=O69,"sí","no"))</f>
        <v/>
      </c>
      <c r="S69" s="9" t="inlineStr"/>
      <c r="T69" s="9" t="inlineStr"/>
      <c r="U69" s="9" t="inlineStr"/>
    </row>
    <row r="70" ht="60" customHeight="1">
      <c r="A70" s="7" t="inlineStr">
        <is>
          <t>CUR-069</t>
        </is>
      </c>
      <c r="B70" s="7" t="inlineStr">
        <is>
          <t>ruido</t>
        </is>
      </c>
      <c r="C70" s="7" t="inlineStr">
        <is>
          <t>Sonido, en especial el que es fuerte y desagradable.</t>
        </is>
      </c>
      <c r="D70" s="7" t="inlineStr">
        <is>
          <t>Wikcionario</t>
        </is>
      </c>
      <c r="E70" s="7" t="inlineStr">
        <is>
          <t>Hicimos del fuego nuestra luz / Hicimos del ruido las respuestas / Caminamos los desposeídos cargando los mantos que cubrirán sus cuerpos</t>
        </is>
      </c>
      <c r="F70" s="7" t="inlineStr">
        <is>
          <t>Pedagogía de la venganza · Cienfuegos (2021)</t>
        </is>
      </c>
      <c r="G70" s="7" t="inlineStr">
        <is>
          <t>Estoy sin vos / En medio de este ruido / Al pie estoy</t>
        </is>
      </c>
      <c r="H70" s="7" t="inlineStr">
        <is>
          <t>Todas las ventanas · Francisco Bochatón</t>
        </is>
      </c>
      <c r="I70" s="9" t="inlineStr"/>
      <c r="J70" s="9" t="inlineStr"/>
      <c r="K70" s="9" t="inlineStr"/>
      <c r="L70" s="9" t="inlineStr"/>
      <c r="M70" s="9" t="inlineStr"/>
      <c r="N70" s="9" t="inlineStr"/>
      <c r="O70" s="9" t="inlineStr"/>
      <c r="P70" s="9" t="inlineStr"/>
      <c r="Q70" s="7">
        <f>IF(OR(J70="",N70=""),"",IF(J70=N70,"sí","no"))</f>
        <v/>
      </c>
      <c r="R70" s="7">
        <f>IF(OR(K70="",O70=""),"",IF(K70=O70,"sí","no"))</f>
        <v/>
      </c>
      <c r="S70" s="9" t="inlineStr"/>
      <c r="T70" s="9" t="inlineStr"/>
      <c r="U70" s="9" t="inlineStr"/>
    </row>
    <row r="71" ht="45" customHeight="1">
      <c r="A71" s="7" t="inlineStr">
        <is>
          <t>CUR-070</t>
        </is>
      </c>
      <c r="B71" s="7" t="inlineStr">
        <is>
          <t>tristes</t>
        </is>
      </c>
      <c r="C71" s="7" t="inlineStr">
        <is>
          <t>Canto popular de origen indígena con acento muy melancólico.</t>
        </is>
      </c>
      <c r="D71" s="7" t="inlineStr">
        <is>
          <t>Wikcionario</t>
        </is>
      </c>
      <c r="E71" s="7" t="inlineStr">
        <is>
          <t>Me guarde estos recuerdos / Ahora las palabras mas tristes tienen sentido para mi / Intente atravesar aquellos viejos puentes</t>
        </is>
      </c>
      <c r="F71" s="7" t="inlineStr">
        <is>
          <t>Reescribir Tragedias Sobre Libros Y Llamas · Dar Sangre (2008)</t>
        </is>
      </c>
      <c r="G71" s="7" t="inlineStr">
        <is>
          <t>Negro el pelo, los ojos verde gris / Y eran suaves sus manos, y eran sus versos tristes / Como el canto de ese violín</t>
        </is>
      </c>
      <c r="H71" s="7" t="inlineStr">
        <is>
          <t>Tal vez será tu voz · Lidia Borda (2011)</t>
        </is>
      </c>
      <c r="I71" s="9" t="inlineStr"/>
      <c r="J71" s="9" t="inlineStr"/>
      <c r="K71" s="9" t="inlineStr"/>
      <c r="L71" s="9" t="inlineStr"/>
      <c r="M71" s="9" t="inlineStr"/>
      <c r="N71" s="9" t="inlineStr"/>
      <c r="O71" s="9" t="inlineStr"/>
      <c r="P71" s="9" t="inlineStr"/>
      <c r="Q71" s="7">
        <f>IF(OR(J71="",N71=""),"",IF(J71=N71,"sí","no"))</f>
        <v/>
      </c>
      <c r="R71" s="7">
        <f>IF(OR(K71="",O71=""),"",IF(K71=O71,"sí","no"))</f>
        <v/>
      </c>
      <c r="S71" s="9" t="inlineStr"/>
      <c r="T71" s="9" t="inlineStr"/>
      <c r="U71" s="9" t="inlineStr"/>
    </row>
    <row r="72" ht="30" customHeight="1">
      <c r="A72" s="7" t="inlineStr">
        <is>
          <t>CUR-071</t>
        </is>
      </c>
      <c r="B72" s="7" t="inlineStr">
        <is>
          <t>catrera</t>
        </is>
      </c>
      <c r="C72" s="7" t="inlineStr">
        <is>
          <t>Cama plegable con armazón de tijera.</t>
        </is>
      </c>
      <c r="D72" s="7" t="inlineStr">
        <is>
          <t>Wikcionario</t>
        </is>
      </c>
      <c r="E72" s="7" t="inlineStr">
        <is>
          <t>Que hace la vida fulera / La cama es una catrera / Y apoliyar es dormirse</t>
        </is>
      </c>
      <c r="F72" s="7" t="inlineStr">
        <is>
          <t>Milonga Lunfarda · Edmundo Rivero (1972)</t>
        </is>
      </c>
      <c r="G72" s="7" t="inlineStr">
        <is>
          <t>Como si estuvieras vos / Y si vieras la catrera / Como se pone cabrera</t>
        </is>
      </c>
      <c r="H72" s="7" t="inlineStr">
        <is>
          <t>Mi noche triste · Carlos Gardel (1917)</t>
        </is>
      </c>
      <c r="I72" s="9" t="inlineStr"/>
      <c r="J72" s="9" t="inlineStr"/>
      <c r="K72" s="9" t="inlineStr"/>
      <c r="L72" s="9" t="inlineStr"/>
      <c r="M72" s="9" t="inlineStr"/>
      <c r="N72" s="9" t="inlineStr"/>
      <c r="O72" s="9" t="inlineStr"/>
      <c r="P72" s="9" t="inlineStr"/>
      <c r="Q72" s="7">
        <f>IF(OR(J72="",N72=""),"",IF(J72=N72,"sí","no"))</f>
        <v/>
      </c>
      <c r="R72" s="7">
        <f>IF(OR(K72="",O72=""),"",IF(K72=O72,"sí","no"))</f>
        <v/>
      </c>
      <c r="S72" s="9" t="inlineStr"/>
      <c r="T72" s="9" t="inlineStr"/>
      <c r="U72" s="9" t="inlineStr"/>
    </row>
    <row r="73" ht="45" customHeight="1">
      <c r="A73" s="7" t="inlineStr">
        <is>
          <t>CUR-072</t>
        </is>
      </c>
      <c r="B73" s="7" t="inlineStr">
        <is>
          <t>sal</t>
        </is>
      </c>
      <c r="C73" s="7" t="inlineStr">
        <is>
          <t>Mala suerte.</t>
        </is>
      </c>
      <c r="D73" s="7" t="inlineStr">
        <is>
          <t>Wikcionario</t>
        </is>
      </c>
      <c r="E73" s="7" t="inlineStr">
        <is>
          <t>Muy lejos del sol, que quema de amor / Te doy pan, quieres sal / Nena, nunca te voy a dar lo que me pides</t>
        </is>
      </c>
      <c r="F73" s="7" t="inlineStr">
        <is>
          <t>Seminare · David Lebón (2018)</t>
        </is>
      </c>
      <c r="G73" s="7" t="inlineStr">
        <is>
          <t>Y es igual a las guirnaldas / Y es que este día es algo de sal / Me dejó vibrando al nacer</t>
        </is>
      </c>
      <c r="H73" s="7" t="inlineStr">
        <is>
          <t>Canción Para los Días de la Vida · María Gabriela Epumer (2000)</t>
        </is>
      </c>
      <c r="I73" s="9" t="inlineStr"/>
      <c r="J73" s="9" t="inlineStr"/>
      <c r="K73" s="9" t="inlineStr"/>
      <c r="L73" s="9" t="inlineStr"/>
      <c r="M73" s="9" t="inlineStr"/>
      <c r="N73" s="9" t="inlineStr"/>
      <c r="O73" s="9" t="inlineStr"/>
      <c r="P73" s="9" t="inlineStr"/>
      <c r="Q73" s="7">
        <f>IF(OR(J73="",N73=""),"",IF(J73=N73,"sí","no"))</f>
        <v/>
      </c>
      <c r="R73" s="7">
        <f>IF(OR(K73="",O73=""),"",IF(K73=O73,"sí","no"))</f>
        <v/>
      </c>
      <c r="S73" s="9" t="inlineStr"/>
      <c r="T73" s="9" t="inlineStr"/>
      <c r="U73" s="9" t="inlineStr"/>
    </row>
    <row r="74" ht="60" customHeight="1">
      <c r="A74" s="7" t="inlineStr">
        <is>
          <t>CUR-073</t>
        </is>
      </c>
      <c r="B74" s="7" t="inlineStr">
        <is>
          <t>naranja</t>
        </is>
      </c>
      <c r="C74" s="7" t="inlineStr">
        <is>
          <t>Nada, ninguna cosa.</t>
        </is>
      </c>
      <c r="D74" s="7" t="inlineStr">
        <is>
          <t>Wikcionario</t>
        </is>
      </c>
      <c r="E74" s="7" t="inlineStr">
        <is>
          <t>maniquíes me guiñan, los semáforos me dan tres luces celestes / Y las naranjas del frutero de la esquina me tiran azahares / Vení, que así medio</t>
        </is>
      </c>
      <c r="F74" s="7" t="inlineStr">
        <is>
          <t>Balada Para un Loco · Roberto Goyeneche (1969)</t>
        </is>
      </c>
      <c r="G74" s="7" t="inlineStr">
        <is>
          <t>Voy a cumplir mi más oscura fantasía / Conocí una cheta con la piel naranja / Ella tomaba keta y yo tomaba blanca</t>
        </is>
      </c>
      <c r="H74" s="7" t="inlineStr">
        <is>
          <t>Buenos tiempos · Dillom (2024)</t>
        </is>
      </c>
      <c r="I74" s="9" t="inlineStr"/>
      <c r="J74" s="9" t="inlineStr"/>
      <c r="K74" s="9" t="inlineStr"/>
      <c r="L74" s="9" t="inlineStr"/>
      <c r="M74" s="9" t="inlineStr"/>
      <c r="N74" s="9" t="inlineStr"/>
      <c r="O74" s="9" t="inlineStr"/>
      <c r="P74" s="9" t="inlineStr"/>
      <c r="Q74" s="7">
        <f>IF(OR(J74="",N74=""),"",IF(J74=N74,"sí","no"))</f>
        <v/>
      </c>
      <c r="R74" s="7">
        <f>IF(OR(K74="",O74=""),"",IF(K74=O74,"sí","no"))</f>
        <v/>
      </c>
      <c r="S74" s="9" t="inlineStr"/>
      <c r="T74" s="9" t="inlineStr"/>
      <c r="U74" s="9" t="inlineStr"/>
    </row>
    <row r="75" ht="60" customHeight="1">
      <c r="A75" s="7" t="inlineStr">
        <is>
          <t>CUR-074</t>
        </is>
      </c>
      <c r="B75" s="7" t="inlineStr">
        <is>
          <t>joder</t>
        </is>
      </c>
      <c r="C75" s="7" t="inlineStr">
        <is>
          <t>En argentina usamos joder como sinonimo de molestar o un fastidio</t>
        </is>
      </c>
      <c r="D75" s="8" t="inlineStr">
        <is>
          <t>diccionarioargentino.com</t>
        </is>
      </c>
      <c r="E75" s="7" t="inlineStr">
        <is>
          <t>Todo' saben la' consecuencia' de jugar con lo' metal' / Si me joden al pana te hago dos por uno en funeral (¿Oíste?) / Empecé escribiendo pa'</t>
        </is>
      </c>
      <c r="F75" s="7" t="inlineStr">
        <is>
          <t>Oye Baby · Zaramay (2020)</t>
        </is>
      </c>
      <c r="G75" s="7" t="inlineStr">
        <is>
          <t>Tienen el mundo enfrente a sus ojos y no lo ven / Me jode / Lejos del complejo de pendejos que la soben</t>
        </is>
      </c>
      <c r="H75" s="7" t="inlineStr">
        <is>
          <t>Oro Puro · 808god (2020)</t>
        </is>
      </c>
      <c r="I75" s="9" t="inlineStr"/>
      <c r="J75" s="9" t="inlineStr"/>
      <c r="K75" s="9" t="inlineStr"/>
      <c r="L75" s="9" t="inlineStr"/>
      <c r="M75" s="9" t="inlineStr"/>
      <c r="N75" s="9" t="inlineStr"/>
      <c r="O75" s="9" t="inlineStr"/>
      <c r="P75" s="9" t="inlineStr"/>
      <c r="Q75" s="7">
        <f>IF(OR(J75="",N75=""),"",IF(J75=N75,"sí","no"))</f>
        <v/>
      </c>
      <c r="R75" s="7">
        <f>IF(OR(K75="",O75=""),"",IF(K75=O75,"sí","no"))</f>
        <v/>
      </c>
      <c r="S75" s="9" t="inlineStr"/>
      <c r="T75" s="9" t="inlineStr"/>
      <c r="U75" s="9" t="inlineStr"/>
    </row>
    <row r="76" ht="45" customHeight="1">
      <c r="A76" s="7" t="inlineStr">
        <is>
          <t>CUR-075</t>
        </is>
      </c>
      <c r="B76" s="7" t="inlineStr">
        <is>
          <t>trucho</t>
        </is>
      </c>
      <c r="C76" s="7" t="inlineStr">
        <is>
          <t>si se refiere a un objeto, significa que es falso, de mala calidad, copiado, con algún desperfecto o algo que anda mal</t>
        </is>
      </c>
      <c r="D76" s="8" t="inlineStr">
        <is>
          <t>diccionarioargentino.com</t>
        </is>
      </c>
      <c r="E76" s="7" t="inlineStr">
        <is>
          <t>Y mi compa con los ojo' re nublado' / Andamo' a todo ritmo, el trucho no se frena / Los mío' responde', compa, si hay problema'</t>
        </is>
      </c>
      <c r="F76" s="7" t="inlineStr">
        <is>
          <t>KAKAROTO · El Noba</t>
        </is>
      </c>
      <c r="G76" s="7" t="inlineStr">
        <is>
          <t>Los tuyo' hablan mucho, ninguno hace na' / Los mío' en un trucho no te van a perdonar / Del año, coco, del año (Del año)</t>
        </is>
      </c>
      <c r="H76" s="7" t="inlineStr">
        <is>
          <t>Del Año · El Noba (2021)</t>
        </is>
      </c>
      <c r="I76" s="9" t="inlineStr"/>
      <c r="J76" s="9" t="inlineStr"/>
      <c r="K76" s="9" t="inlineStr"/>
      <c r="L76" s="9" t="inlineStr"/>
      <c r="M76" s="9" t="inlineStr"/>
      <c r="N76" s="9" t="inlineStr"/>
      <c r="O76" s="9" t="inlineStr"/>
      <c r="P76" s="9" t="inlineStr"/>
      <c r="Q76" s="7">
        <f>IF(OR(J76="",N76=""),"",IF(J76=N76,"sí","no"))</f>
        <v/>
      </c>
      <c r="R76" s="7">
        <f>IF(OR(K76="",O76=""),"",IF(K76=O76,"sí","no"))</f>
        <v/>
      </c>
      <c r="S76" s="9" t="inlineStr"/>
      <c r="T76" s="9" t="inlineStr"/>
      <c r="U76" s="9" t="inlineStr"/>
    </row>
    <row r="77" ht="45" customHeight="1">
      <c r="A77" s="7" t="inlineStr">
        <is>
          <t>CUR-076</t>
        </is>
      </c>
      <c r="B77" s="7" t="inlineStr">
        <is>
          <t>duro</t>
        </is>
      </c>
      <c r="C77" s="7" t="inlineStr">
        <is>
          <t>Estar muy drogado</t>
        </is>
      </c>
      <c r="D77" s="8" t="inlineStr">
        <is>
          <t>diccionarioargentino.com</t>
        </is>
      </c>
      <c r="E77" s="7" t="inlineStr">
        <is>
          <t>Cabrones, dejen su mensaje ya, después de la señal / La vida es dura, y es común tener que enterrar a un abuelo / Pero no levantar</t>
        </is>
      </c>
      <c r="F77" s="7" t="inlineStr">
        <is>
          <t>Freestyle Session #5 · Zaramay (2019)</t>
        </is>
      </c>
      <c r="G77" s="7" t="inlineStr">
        <is>
          <t>Fría la noche como duro el pisar / La encontraron bajo un árbol aquí atrás</t>
        </is>
      </c>
      <c r="H77" s="7" t="inlineStr">
        <is>
          <t>Georgia Lee · Roxana Amed</t>
        </is>
      </c>
      <c r="I77" s="9" t="inlineStr"/>
      <c r="J77" s="9" t="inlineStr"/>
      <c r="K77" s="9" t="inlineStr"/>
      <c r="L77" s="9" t="inlineStr"/>
      <c r="M77" s="9" t="inlineStr"/>
      <c r="N77" s="9" t="inlineStr"/>
      <c r="O77" s="9" t="inlineStr"/>
      <c r="P77" s="9" t="inlineStr"/>
      <c r="Q77" s="7">
        <f>IF(OR(J77="",N77=""),"",IF(J77=N77,"sí","no"))</f>
        <v/>
      </c>
      <c r="R77" s="7">
        <f>IF(OR(K77="",O77=""),"",IF(K77=O77,"sí","no"))</f>
        <v/>
      </c>
      <c r="S77" s="9" t="inlineStr"/>
      <c r="T77" s="9" t="inlineStr"/>
      <c r="U77" s="9" t="inlineStr"/>
    </row>
    <row r="78" ht="45" customHeight="1">
      <c r="A78" s="7" t="inlineStr">
        <is>
          <t>CUR-077</t>
        </is>
      </c>
      <c r="B78" s="7" t="inlineStr">
        <is>
          <t>guarda</t>
        </is>
      </c>
      <c r="C78" s="7" t="inlineStr">
        <is>
          <t>Forma de llamar la atención. Significa "mira" (imperativo del verbo mirar) en italiano.</t>
        </is>
      </c>
      <c r="D78" s="8" t="inlineStr">
        <is>
          <t>diccionarioargentino.com</t>
        </is>
      </c>
      <c r="E78" s="7" t="inlineStr">
        <is>
          <t>Vos, tu vieja y tu papá / ¡Guarda!... / Cuidensé porque anda suelta</t>
        </is>
      </c>
      <c r="F78" s="7" t="inlineStr">
        <is>
          <t>Chorra · Edmundo Rivero (1959)</t>
        </is>
      </c>
      <c r="G78" s="7" t="inlineStr">
        <is>
          <t>Yo asi le responderia / Guarda tu confiteria sultan / De Constantinopla...</t>
        </is>
      </c>
      <c r="H78" s="7" t="inlineStr">
        <is>
          <t>Rosas orientales · Julián Aguirre</t>
        </is>
      </c>
      <c r="I78" s="9" t="inlineStr"/>
      <c r="J78" s="9" t="inlineStr"/>
      <c r="K78" s="9" t="inlineStr"/>
      <c r="L78" s="9" t="inlineStr"/>
      <c r="M78" s="9" t="inlineStr"/>
      <c r="N78" s="9" t="inlineStr"/>
      <c r="O78" s="9" t="inlineStr"/>
      <c r="P78" s="9" t="inlineStr"/>
      <c r="Q78" s="7">
        <f>IF(OR(J78="",N78=""),"",IF(J78=N78,"sí","no"))</f>
        <v/>
      </c>
      <c r="R78" s="7">
        <f>IF(OR(K78="",O78=""),"",IF(K78=O78,"sí","no"))</f>
        <v/>
      </c>
      <c r="S78" s="9" t="inlineStr"/>
      <c r="T78" s="9" t="inlineStr"/>
      <c r="U78" s="9" t="inlineStr"/>
    </row>
    <row r="79" ht="60" customHeight="1">
      <c r="A79" s="7" t="inlineStr">
        <is>
          <t>CUR-078</t>
        </is>
      </c>
      <c r="B79" s="7" t="inlineStr">
        <is>
          <t>gota</t>
        </is>
      </c>
      <c r="C79" s="7" t="inlineStr">
        <is>
          <t>Volumen pequeño de agua u otro líquido delimitado casi completamente por superficies libres y generalmente con forma cercana a la de una esfera.</t>
        </is>
      </c>
      <c r="D79" s="7" t="inlineStr">
        <is>
          <t>Wikcionario</t>
        </is>
      </c>
      <c r="E79" s="7" t="inlineStr">
        <is>
          <t>Y cómo volver a ser el mismo / Si no me queda ni una gota de amor / Que no te haya dado esta mañana</t>
        </is>
      </c>
      <c r="F79" s="7" t="inlineStr">
        <is>
          <t>Laberinto De Pasiones · Comida China</t>
        </is>
      </c>
      <c r="G79" s="7" t="inlineStr">
        <is>
          <t>Nacidas a la luz de las estrellas / Y cubiertas de gotas de rocío / Algo del cielo de la noche en ellas</t>
        </is>
      </c>
      <c r="H79" s="7" t="inlineStr">
        <is>
          <t>Mensaje · Felipe Boero</t>
        </is>
      </c>
      <c r="I79" s="9" t="inlineStr"/>
      <c r="J79" s="9" t="inlineStr"/>
      <c r="K79" s="9" t="inlineStr"/>
      <c r="L79" s="9" t="inlineStr"/>
      <c r="M79" s="9" t="inlineStr"/>
      <c r="N79" s="9" t="inlineStr"/>
      <c r="O79" s="9" t="inlineStr"/>
      <c r="P79" s="9" t="inlineStr"/>
      <c r="Q79" s="7">
        <f>IF(OR(J79="",N79=""),"",IF(J79=N79,"sí","no"))</f>
        <v/>
      </c>
      <c r="R79" s="7">
        <f>IF(OR(K79="",O79=""),"",IF(K79=O79,"sí","no"))</f>
        <v/>
      </c>
      <c r="S79" s="9" t="inlineStr"/>
      <c r="T79" s="9" t="inlineStr"/>
      <c r="U79" s="9" t="inlineStr"/>
    </row>
    <row r="80" ht="45" customHeight="1">
      <c r="A80" s="7" t="inlineStr">
        <is>
          <t>CUR-079</t>
        </is>
      </c>
      <c r="B80" s="7" t="inlineStr">
        <is>
          <t>corte</t>
        </is>
      </c>
      <c r="C80" s="7" t="inlineStr">
        <is>
          <t>Sinonimo de "tipo"  "osea" y "como"</t>
        </is>
      </c>
      <c r="D80" s="8" t="inlineStr">
        <is>
          <t>diccionarioargentino.com</t>
        </is>
      </c>
      <c r="E80" s="7" t="inlineStr">
        <is>
          <t>'Tamo re puesto y no para la moto / Todo' lo' podere' corte Kakaroto / Logi, no te peine', no salí' en la foto</t>
        </is>
      </c>
      <c r="F80" s="7" t="inlineStr">
        <is>
          <t>KAKAROTO · El Noba</t>
        </is>
      </c>
      <c r="G80" s="7" t="inlineStr">
        <is>
          <t>Volvió el turrito, el que siempre hace desastre / Corte 6 a.m. te paso a busca' en el Lander / Tomamos esa rola y la seguimo' re</t>
        </is>
      </c>
      <c r="H80" s="7" t="inlineStr">
        <is>
          <t>Del Año · El Noba (2021)</t>
        </is>
      </c>
      <c r="I80" s="9" t="inlineStr"/>
      <c r="J80" s="9" t="inlineStr"/>
      <c r="K80" s="9" t="inlineStr"/>
      <c r="L80" s="9" t="inlineStr"/>
      <c r="M80" s="9" t="inlineStr"/>
      <c r="N80" s="9" t="inlineStr"/>
      <c r="O80" s="9" t="inlineStr"/>
      <c r="P80" s="9" t="inlineStr"/>
      <c r="Q80" s="7">
        <f>IF(OR(J80="",N80=""),"",IF(J80=N80,"sí","no"))</f>
        <v/>
      </c>
      <c r="R80" s="7">
        <f>IF(OR(K80="",O80=""),"",IF(K80=O80,"sí","no"))</f>
        <v/>
      </c>
      <c r="S80" s="9" t="inlineStr"/>
      <c r="T80" s="9" t="inlineStr"/>
      <c r="U80" s="9" t="inlineStr"/>
    </row>
    <row r="81" ht="30" customHeight="1">
      <c r="A81" s="7" t="inlineStr">
        <is>
          <t>CUR-080</t>
        </is>
      </c>
      <c r="B81" s="7" t="inlineStr">
        <is>
          <t>batir</t>
        </is>
      </c>
      <c r="C81" s="7" t="inlineStr">
        <is>
          <t>Delatar</t>
        </is>
      </c>
      <c r="D81" s="8" t="inlineStr">
        <is>
          <t>diccionarioargentino.com</t>
        </is>
      </c>
      <c r="E81" s="7" t="inlineStr">
        <is>
          <t>Al zonzo, llaman chabón / Y al vivo le baten rana / La guita o el vento es</t>
        </is>
      </c>
      <c r="F81" s="7" t="inlineStr">
        <is>
          <t>Milonga Lunfarda · Edmundo Rivero (1972)</t>
        </is>
      </c>
      <c r="G81" s="7" t="inlineStr">
        <is>
          <t>I destroy my pain con un bate, mamá / So I am the líder en mi vida, no hay chance</t>
        </is>
      </c>
      <c r="H81" s="7" t="inlineStr">
        <is>
          <t>KAMIKAZE · Sofía Gabanna (2023)</t>
        </is>
      </c>
      <c r="I81" s="9" t="inlineStr"/>
      <c r="J81" s="9" t="inlineStr"/>
      <c r="K81" s="9" t="inlineStr"/>
      <c r="L81" s="9" t="inlineStr"/>
      <c r="M81" s="9" t="inlineStr"/>
      <c r="N81" s="9" t="inlineStr"/>
      <c r="O81" s="9" t="inlineStr"/>
      <c r="P81" s="9" t="inlineStr"/>
      <c r="Q81" s="7">
        <f>IF(OR(J81="",N81=""),"",IF(J81=N81,"sí","no"))</f>
        <v/>
      </c>
      <c r="R81" s="7">
        <f>IF(OR(K81="",O81=""),"",IF(K81=O81,"sí","no"))</f>
        <v/>
      </c>
      <c r="S81" s="9" t="inlineStr"/>
      <c r="T81" s="9" t="inlineStr"/>
      <c r="U81" s="9" t="inlineStr"/>
    </row>
    <row r="82" ht="45" customHeight="1">
      <c r="A82" s="7" t="inlineStr">
        <is>
          <t>CUR-081</t>
        </is>
      </c>
      <c r="B82" s="7" t="inlineStr">
        <is>
          <t>muñeca</t>
        </is>
      </c>
      <c r="C82" s="7" t="inlineStr">
        <is>
          <t>Habilidad, destreza.</t>
        </is>
      </c>
      <c r="D82" s="7" t="inlineStr">
        <is>
          <t>Wikcionario</t>
        </is>
      </c>
      <c r="E82" s="7" t="inlineStr">
        <is>
          <t>Por más que no lo crea yo / Ya la muñeca se acabo / Es seguro que un novio tendrás</t>
        </is>
      </c>
      <c r="F82" s="7" t="inlineStr">
        <is>
          <t>El tiempo pasa y se va · Carlos Javier Beltrán (1982)</t>
        </is>
      </c>
      <c r="G82" s="7" t="inlineStr">
        <is>
          <t>sensación / Si soy fiera sé que, en cambio, tengo un cutis de muñeca / Los que dicen que soy chueca no me han visto en camisón</t>
        </is>
      </c>
      <c r="H82" s="7" t="inlineStr">
        <is>
          <t>Se Dice de Mí · Tita Merello (1955)</t>
        </is>
      </c>
      <c r="I82" s="9" t="inlineStr"/>
      <c r="J82" s="9" t="inlineStr"/>
      <c r="K82" s="9" t="inlineStr"/>
      <c r="L82" s="9" t="inlineStr"/>
      <c r="M82" s="9" t="inlineStr"/>
      <c r="N82" s="9" t="inlineStr"/>
      <c r="O82" s="9" t="inlineStr"/>
      <c r="P82" s="9" t="inlineStr"/>
      <c r="Q82" s="7">
        <f>IF(OR(J82="",N82=""),"",IF(J82=N82,"sí","no"))</f>
        <v/>
      </c>
      <c r="R82" s="7">
        <f>IF(OR(K82="",O82=""),"",IF(K82=O82,"sí","no"))</f>
        <v/>
      </c>
      <c r="S82" s="9" t="inlineStr"/>
      <c r="T82" s="9" t="inlineStr"/>
      <c r="U82" s="9" t="inlineStr"/>
    </row>
    <row r="83" ht="45" customHeight="1">
      <c r="A83" s="7" t="inlineStr">
        <is>
          <t>CUR-082</t>
        </is>
      </c>
      <c r="B83" s="7" t="inlineStr">
        <is>
          <t>ciego</t>
        </is>
      </c>
      <c r="C83" s="7" t="inlineStr">
        <is>
          <t>Jugador al que le han tocado malas cartas.</t>
        </is>
      </c>
      <c r="D83" s="7" t="inlineStr">
        <is>
          <t>Wikcionario</t>
        </is>
      </c>
      <c r="E83" s="7" t="inlineStr">
        <is>
          <t>Condenados, lejos del sol / Nacimos ciegos, nacimos muertos / Salimos del pozo a cavar sus tumbas</t>
        </is>
      </c>
      <c r="F83" s="7" t="inlineStr">
        <is>
          <t>Pedagogía de la venganza · Cienfuegos (2021)</t>
        </is>
      </c>
      <c r="G83" s="7" t="inlineStr">
        <is>
          <t>Los que al mirar no se hacen / Ciegos por gritar / Sin pretender sen premiados</t>
        </is>
      </c>
      <c r="H83" s="7" t="inlineStr">
        <is>
          <t>Rugen Sus Voces · D-mente</t>
        </is>
      </c>
      <c r="I83" s="9" t="inlineStr"/>
      <c r="J83" s="9" t="inlineStr"/>
      <c r="K83" s="9" t="inlineStr"/>
      <c r="L83" s="9" t="inlineStr"/>
      <c r="M83" s="9" t="inlineStr"/>
      <c r="N83" s="9" t="inlineStr"/>
      <c r="O83" s="9" t="inlineStr"/>
      <c r="P83" s="9" t="inlineStr"/>
      <c r="Q83" s="7">
        <f>IF(OR(J83="",N83=""),"",IF(J83=N83,"sí","no"))</f>
        <v/>
      </c>
      <c r="R83" s="7">
        <f>IF(OR(K83="",O83=""),"",IF(K83=O83,"sí","no"))</f>
        <v/>
      </c>
      <c r="S83" s="9" t="inlineStr"/>
      <c r="T83" s="9" t="inlineStr"/>
      <c r="U83" s="9" t="inlineStr"/>
    </row>
    <row r="84" ht="60" customHeight="1">
      <c r="A84" s="7" t="inlineStr">
        <is>
          <t>CUR-083</t>
        </is>
      </c>
      <c r="B84" s="7" t="inlineStr">
        <is>
          <t>novia</t>
        </is>
      </c>
      <c r="C84" s="7" t="inlineStr">
        <is>
          <t>Persona que mantiene una relación de amor con otra, especialmente cuando tiene intención de casarse o de vivir en pareja con ella.</t>
        </is>
      </c>
      <c r="D84" s="8" t="inlineStr">
        <is>
          <t>diccionarioargentino.com</t>
        </is>
      </c>
      <c r="E84" s="7" t="inlineStr">
        <is>
          <t>Pompeya y, más alla, la inundación / Tu melena de novia en el recuerdo / Y tu nombre flotando en el adios...</t>
        </is>
      </c>
      <c r="F84" s="7" t="inlineStr">
        <is>
          <t>Sur · Aníbal Troilo</t>
        </is>
      </c>
      <c r="G84" s="7" t="inlineStr">
        <is>
          <t>Vacilo con las turras, hasta abajo con el trago / Le robé la novia al cheto, ahora ando cotizado / Del año, coco, del año (Del año)</t>
        </is>
      </c>
      <c r="H84" s="7" t="inlineStr">
        <is>
          <t>Del Año · El Noba (2021)</t>
        </is>
      </c>
      <c r="I84" s="9" t="inlineStr"/>
      <c r="J84" s="9" t="inlineStr"/>
      <c r="K84" s="9" t="inlineStr"/>
      <c r="L84" s="9" t="inlineStr"/>
      <c r="M84" s="9" t="inlineStr"/>
      <c r="N84" s="9" t="inlineStr"/>
      <c r="O84" s="9" t="inlineStr"/>
      <c r="P84" s="9" t="inlineStr"/>
      <c r="Q84" s="7">
        <f>IF(OR(J84="",N84=""),"",IF(J84=N84,"sí","no"))</f>
        <v/>
      </c>
      <c r="R84" s="7">
        <f>IF(OR(K84="",O84=""),"",IF(K84=O84,"sí","no"))</f>
        <v/>
      </c>
      <c r="S84" s="9" t="inlineStr"/>
      <c r="T84" s="9" t="inlineStr"/>
      <c r="U84" s="9" t="inlineStr"/>
    </row>
    <row r="85" ht="30" customHeight="1">
      <c r="A85" s="7" t="inlineStr">
        <is>
          <t>CUR-084</t>
        </is>
      </c>
      <c r="B85" s="7" t="inlineStr">
        <is>
          <t>quebrar</t>
        </is>
      </c>
      <c r="C85" s="7" t="inlineStr">
        <is>
          <t>Escabiar hasta vomitar</t>
        </is>
      </c>
      <c r="D85" s="8" t="inlineStr">
        <is>
          <t>diccionarioargentino.com</t>
        </is>
      </c>
      <c r="E85" s="7" t="inlineStr">
        <is>
          <t>¿No ven que soy gotán? / Me quiebro en mi canción / Como un puñal de acero</t>
        </is>
      </c>
      <c r="F85" s="7" t="inlineStr">
        <is>
          <t>Yo soy el tango · Miguel Caló</t>
        </is>
      </c>
      <c r="G85" s="7" t="inlineStr">
        <is>
          <t>El que a tu guacha se llevó / Y el que en el baile te re quebró</t>
        </is>
      </c>
      <c r="H85" s="7" t="inlineStr">
        <is>
          <t>KAKAROTO · El Noba</t>
        </is>
      </c>
      <c r="I85" s="9" t="inlineStr"/>
      <c r="J85" s="9" t="inlineStr"/>
      <c r="K85" s="9" t="inlineStr"/>
      <c r="L85" s="9" t="inlineStr"/>
      <c r="M85" s="9" t="inlineStr"/>
      <c r="N85" s="9" t="inlineStr"/>
      <c r="O85" s="9" t="inlineStr"/>
      <c r="P85" s="9" t="inlineStr"/>
      <c r="Q85" s="7">
        <f>IF(OR(J85="",N85=""),"",IF(J85=N85,"sí","no"))</f>
        <v/>
      </c>
      <c r="R85" s="7">
        <f>IF(OR(K85="",O85=""),"",IF(K85=O85,"sí","no"))</f>
        <v/>
      </c>
      <c r="S85" s="9" t="inlineStr"/>
      <c r="T85" s="9" t="inlineStr"/>
      <c r="U85" s="9" t="inlineStr"/>
    </row>
    <row r="86" ht="60" customHeight="1">
      <c r="A86" s="7" t="inlineStr">
        <is>
          <t>CUR-085</t>
        </is>
      </c>
      <c r="B86" s="7" t="inlineStr">
        <is>
          <t>cristal</t>
        </is>
      </c>
      <c r="C86" s="7" t="inlineStr">
        <is>
          <t>Pieza de vidrio u otra sustancia transparente o semitransparente que se coloca en el hueco de una ventana o una vitrina.</t>
        </is>
      </c>
      <c r="D86" s="7" t="inlineStr">
        <is>
          <t>Wikcionario</t>
        </is>
      </c>
      <c r="E86" s="7" t="inlineStr">
        <is>
          <t>la brisa, rumor de melodía / Y nos darán las fuentes su canto de cristal / El día que me quieras endulzará sus cuerdas el pájaro cantor</t>
        </is>
      </c>
      <c r="F86" s="7" t="inlineStr">
        <is>
          <t>El Dia Que Me Quieras · Carlos Gardel (1934)</t>
        </is>
      </c>
      <c r="G86" s="7" t="inlineStr">
        <is>
          <t>"¿tus cosa'?, hola, ¿qué tal?" / Es otra noche que vuelvo a llenar la copa 'e cristal / Todo' saben la' consecuencia' de jugar con lo' metal'</t>
        </is>
      </c>
      <c r="H86" s="7" t="inlineStr">
        <is>
          <t>Oye Baby · Zaramay (2020)</t>
        </is>
      </c>
      <c r="I86" s="9" t="inlineStr"/>
      <c r="J86" s="9" t="inlineStr"/>
      <c r="K86" s="9" t="inlineStr"/>
      <c r="L86" s="9" t="inlineStr"/>
      <c r="M86" s="9" t="inlineStr"/>
      <c r="N86" s="9" t="inlineStr"/>
      <c r="O86" s="9" t="inlineStr"/>
      <c r="P86" s="9" t="inlineStr"/>
      <c r="Q86" s="7">
        <f>IF(OR(J86="",N86=""),"",IF(J86=N86,"sí","no"))</f>
        <v/>
      </c>
      <c r="R86" s="7">
        <f>IF(OR(K86="",O86=""),"",IF(K86=O86,"sí","no"))</f>
        <v/>
      </c>
      <c r="S86" s="9" t="inlineStr"/>
      <c r="T86" s="9" t="inlineStr"/>
      <c r="U86" s="9" t="inlineStr"/>
    </row>
    <row r="87" ht="45" customHeight="1">
      <c r="A87" s="7" t="inlineStr">
        <is>
          <t>CUR-086</t>
        </is>
      </c>
      <c r="B87" s="7" t="inlineStr">
        <is>
          <t>gato</t>
        </is>
      </c>
      <c r="C87" s="7" t="inlineStr">
        <is>
          <t>Hombre que anda con muchas mujeres (no necesariamente prostitutas), también puede ser usado para hablar con un amigo.</t>
        </is>
      </c>
      <c r="D87" s="8" t="inlineStr">
        <is>
          <t>diccionarioargentino.com</t>
        </is>
      </c>
      <c r="E87" s="7" t="inlineStr">
        <is>
          <t>Donde el pichón se cansó de esperar / Pone en el plato liebre por gato / Cosa que a todos nos puede pasar</t>
        </is>
      </c>
      <c r="F87" s="7" t="inlineStr">
        <is>
          <t>El Show Del Perro Salchicha · María Elena Walsh (1966)</t>
        </is>
      </c>
      <c r="G87" s="7" t="inlineStr">
        <is>
          <t>Me etiquetó en su burra, 'tamo' chelo / Ese gato hatea, 'tamo' chelo / 'Tam-tam-tamo' chelo</t>
        </is>
      </c>
      <c r="H87" s="7" t="inlineStr">
        <is>
          <t>Tamo Chelo · El Noba (2021)</t>
        </is>
      </c>
      <c r="I87" s="9" t="inlineStr"/>
      <c r="J87" s="9" t="inlineStr"/>
      <c r="K87" s="9" t="inlineStr"/>
      <c r="L87" s="9" t="inlineStr"/>
      <c r="M87" s="9" t="inlineStr"/>
      <c r="N87" s="9" t="inlineStr"/>
      <c r="O87" s="9" t="inlineStr"/>
      <c r="P87" s="9" t="inlineStr"/>
      <c r="Q87" s="7">
        <f>IF(OR(J87="",N87=""),"",IF(J87=N87,"sí","no"))</f>
        <v/>
      </c>
      <c r="R87" s="7">
        <f>IF(OR(K87="",O87=""),"",IF(K87=O87,"sí","no"))</f>
        <v/>
      </c>
      <c r="S87" s="9" t="inlineStr"/>
      <c r="T87" s="9" t="inlineStr"/>
      <c r="U87" s="9" t="inlineStr"/>
    </row>
    <row r="88" ht="60" customHeight="1">
      <c r="A88" s="7" t="inlineStr">
        <is>
          <t>CUR-087</t>
        </is>
      </c>
      <c r="B88" s="7" t="inlineStr">
        <is>
          <t>compadrón</t>
        </is>
      </c>
      <c r="C88" s="7" t="inlineStr">
        <is>
          <t>Hombre que trata de imitar al compadrito, pero que carece de la cultura y buenas maneras de él.</t>
        </is>
      </c>
      <c r="D88" s="7" t="inlineStr">
        <is>
          <t>Wikcionario</t>
        </is>
      </c>
      <c r="E88" s="7" t="inlineStr">
        <is>
          <t>soy fiera, que camino a lo malevo / Que soy chueca y que me muevo con un aire compadrón / Que parezco Leguisamo, mi nariz es puntiaguda</t>
        </is>
      </c>
      <c r="F88" s="7" t="inlineStr">
        <is>
          <t>Se Dice de Mí · Tita Merello (1955)</t>
        </is>
      </c>
      <c r="G88" s="7" t="inlineStr">
        <is>
          <t>Yo soy propia hermana entera / De chiclana y compadrón / Si me gano el morfi diario</t>
        </is>
      </c>
      <c r="H88" s="7" t="inlineStr">
        <is>
          <t>Arrabalera · Tita Merello (1955)</t>
        </is>
      </c>
      <c r="I88" s="9" t="inlineStr"/>
      <c r="J88" s="9" t="inlineStr"/>
      <c r="K88" s="9" t="inlineStr"/>
      <c r="L88" s="9" t="inlineStr"/>
      <c r="M88" s="9" t="inlineStr"/>
      <c r="N88" s="9" t="inlineStr"/>
      <c r="O88" s="9" t="inlineStr"/>
      <c r="P88" s="9" t="inlineStr"/>
      <c r="Q88" s="7">
        <f>IF(OR(J88="",N88=""),"",IF(J88=N88,"sí","no"))</f>
        <v/>
      </c>
      <c r="R88" s="7">
        <f>IF(OR(K88="",O88=""),"",IF(K88=O88,"sí","no"))</f>
        <v/>
      </c>
      <c r="S88" s="9" t="inlineStr"/>
      <c r="T88" s="9" t="inlineStr"/>
      <c r="U88" s="9" t="inlineStr"/>
    </row>
    <row r="89" ht="45" customHeight="1">
      <c r="A89" s="7" t="inlineStr">
        <is>
          <t>CUR-088</t>
        </is>
      </c>
      <c r="B89" s="7" t="inlineStr">
        <is>
          <t>colgar</t>
        </is>
      </c>
      <c r="C89" s="7" t="inlineStr">
        <is>
          <t>Olvidar algo o no prestar atención.</t>
        </is>
      </c>
      <c r="D89" s="8" t="inlineStr">
        <is>
          <t>diccionarioargentino.com</t>
        </is>
      </c>
      <c r="E89" s="7" t="inlineStr">
        <is>
          <t>Y vo' sabé' que soy yo / El que la colgó en el Falcon / El que a tu guacha se llevó</t>
        </is>
      </c>
      <c r="F89" s="7" t="inlineStr">
        <is>
          <t>KAKAROTO · El Noba</t>
        </is>
      </c>
      <c r="G89" s="7" t="inlineStr">
        <is>
          <t>Buscando esa gatita que le guste el peligro / Patente tapada, tiro un cuelgue y nos re vimo' / ¿Y ahora qué vamo' a hacer?</t>
        </is>
      </c>
      <c r="H89" s="7" t="inlineStr">
        <is>
          <t>Del Año · El Noba (2021)</t>
        </is>
      </c>
      <c r="I89" s="9" t="inlineStr"/>
      <c r="J89" s="9" t="inlineStr"/>
      <c r="K89" s="9" t="inlineStr"/>
      <c r="L89" s="9" t="inlineStr"/>
      <c r="M89" s="9" t="inlineStr"/>
      <c r="N89" s="9" t="inlineStr"/>
      <c r="O89" s="9" t="inlineStr"/>
      <c r="P89" s="9" t="inlineStr"/>
      <c r="Q89" s="7">
        <f>IF(OR(J89="",N89=""),"",IF(J89=N89,"sí","no"))</f>
        <v/>
      </c>
      <c r="R89" s="7">
        <f>IF(OR(K89="",O89=""),"",IF(K89=O89,"sí","no"))</f>
        <v/>
      </c>
      <c r="S89" s="9" t="inlineStr"/>
      <c r="T89" s="9" t="inlineStr"/>
      <c r="U89" s="9" t="inlineStr"/>
    </row>
    <row r="90" ht="60" customHeight="1">
      <c r="A90" s="7" t="inlineStr">
        <is>
          <t>CUR-089</t>
        </is>
      </c>
      <c r="B90" s="7" t="inlineStr">
        <is>
          <t>verde</t>
        </is>
      </c>
      <c r="C90" s="7" t="inlineStr">
        <is>
          <t>Sinónimo del mate.</t>
        </is>
      </c>
      <c r="D90" s="8" t="inlineStr">
        <is>
          <t>diccionarioargentino.com</t>
        </is>
      </c>
      <c r="E90" s="7" t="inlineStr">
        <is>
          <t>Pero acá si somos hombres, y hacemos correr la sangre / Hablame de verdes, de billetes, de mil y quinientos / No me gustan las cazafortuna' y</t>
        </is>
      </c>
      <c r="F90" s="7" t="inlineStr">
        <is>
          <t>Freestyle Session #5 · Zaramay (2019)</t>
        </is>
      </c>
      <c r="G90" s="7" t="inlineStr">
        <is>
          <t>Como tú, era pálido y lejano / Negro el pelo, los ojos verde gris / Y eran suaves sus manos, y eran sus versos tristes</t>
        </is>
      </c>
      <c r="H90" s="7" t="inlineStr">
        <is>
          <t>Tal vez será tu voz · Lidia Borda (2011)</t>
        </is>
      </c>
      <c r="I90" s="9" t="inlineStr"/>
      <c r="J90" s="9" t="inlineStr"/>
      <c r="K90" s="9" t="inlineStr"/>
      <c r="L90" s="9" t="inlineStr"/>
      <c r="M90" s="9" t="inlineStr"/>
      <c r="N90" s="9" t="inlineStr"/>
      <c r="O90" s="9" t="inlineStr"/>
      <c r="P90" s="9" t="inlineStr"/>
      <c r="Q90" s="7">
        <f>IF(OR(J90="",N90=""),"",IF(J90=N90,"sí","no"))</f>
        <v/>
      </c>
      <c r="R90" s="7">
        <f>IF(OR(K90="",O90=""),"",IF(K90=O90,"sí","no"))</f>
        <v/>
      </c>
      <c r="S90" s="9" t="inlineStr"/>
      <c r="T90" s="9" t="inlineStr"/>
      <c r="U90" s="9" t="inlineStr"/>
    </row>
    <row r="91" ht="60" customHeight="1">
      <c r="A91" s="7" t="inlineStr">
        <is>
          <t>CUR-090</t>
        </is>
      </c>
      <c r="B91" s="7" t="inlineStr">
        <is>
          <t>atado</t>
        </is>
      </c>
      <c r="C91" s="7" t="inlineStr">
        <is>
          <t>Paquete de cigarrillos.</t>
        </is>
      </c>
      <c r="D91" s="7" t="inlineStr">
        <is>
          <t>Wikcionario</t>
        </is>
      </c>
      <c r="E91" s="7" t="inlineStr">
        <is>
          <t>congelo las palabras que nacen y mueren en mi! / Tanto tiempo estuve atado en el frió de tus manos / Tanto tiempo encerrado en el frió</t>
        </is>
      </c>
      <c r="F91" s="7" t="inlineStr">
        <is>
          <t>Te Amo · Dar Sangre (2008)</t>
        </is>
      </c>
      <c r="G91" s="7" t="inlineStr">
        <is>
          <t>Con un poco 'e estilo acá to' lo logramo' / Los tengo afuera con el perro atado / Esperan a que calle pa' mete' un bocado</t>
        </is>
      </c>
      <c r="H91" s="7" t="inlineStr">
        <is>
          <t>Hello Cotto · Duki (2017)</t>
        </is>
      </c>
      <c r="I91" s="9" t="inlineStr"/>
      <c r="J91" s="9" t="inlineStr"/>
      <c r="K91" s="9" t="inlineStr"/>
      <c r="L91" s="9" t="inlineStr"/>
      <c r="M91" s="9" t="inlineStr"/>
      <c r="N91" s="9" t="inlineStr"/>
      <c r="O91" s="9" t="inlineStr"/>
      <c r="P91" s="9" t="inlineStr"/>
      <c r="Q91" s="7">
        <f>IF(OR(J91="",N91=""),"",IF(J91=N91,"sí","no"))</f>
        <v/>
      </c>
      <c r="R91" s="7">
        <f>IF(OR(K91="",O91=""),"",IF(K91=O91,"sí","no"))</f>
        <v/>
      </c>
      <c r="S91" s="9" t="inlineStr"/>
      <c r="T91" s="9" t="inlineStr"/>
      <c r="U91" s="9" t="inlineStr"/>
    </row>
  </sheetData>
  <autoFilter ref="A1:U91"/>
  <conditionalFormatting sqref="Q2:Q91">
    <cfRule type="cellIs" priority="1" operator="equal" dxfId="0">
      <formula>"no"</formula>
    </cfRule>
  </conditionalFormatting>
  <conditionalFormatting sqref="R2:R91">
    <cfRule type="cellIs" priority="2" operator="equal" dxfId="0">
      <formula>"no"</formula>
    </cfRule>
  </conditionalFormatting>
  <dataValidations count="3">
    <dataValidation sqref="J2:J91 N2:N91 S2:S91" showDropDown="0" showInputMessage="0" showErrorMessage="1" allowBlank="1" error="Elegí una opción de la lista" type="list">
      <formula1>"falso_amigo,polisemico_interno,lunfardo_sin_homonimo,espanol_general"</formula1>
    </dataValidation>
    <dataValidation sqref="K2 K3 K5 K6 K7 K8 K9 K10 K11 K12 K13 K14 K15 K17 K18 K19 K20 K21 K22 K23 K24 K25 K26 K28 K30 K31 K32 K33 K34 K35 K36 K37 K38 K39 K40 K41 K42 K43 K44 K45 K46 K49 K50 K51 K52 K53 K54 K55 K56 K57 K58 K59 K60 K61 K62 K63 K64 K65 K66 K68 K69 K70 K71 K72 K73 K74 K75 K76 K77 K78 K79 K80 K81 K82 K83 K84 K85 K86 K87 K88 K89 K90 K91 O2 O3 O5 O6 O7 O8 O9 O10 O11 O12 O13 O14 O15 O17 O18 O19 O20 O21 O22 O23 O24 O25 O26 O28 O30 O31 O32 O33 O34 O35 O36 O37 O38 O39 O40 O41 O42 O43 O44 O45 O46 O49 O50 O51 O52 O53 O54 O55 O56 O57 O58 O59 O60 O61 O62 O63 O64 O65 O66 O68 O69 O70 O71 O72 O73 O74 O75 O76 O77 O78 O79 O80 O81 O82 O83 O84 O85 O86 O87 O88 O89 O90 O91 T2 T3 T5 T6 T7 T8 T9 T10 T11 T12 T13 T14 T15 T17 T18 T19 T20 T21 T22 T23 T24 T25 T26 T28 T30 T31 T32 T33 T34 T35 T36 T37 T38 T39 T40 T41 T42 T43 T44 T45 T46 T49 T50 T51 T52 T53 T54 T55 T56 T57 T58 T59 T60 T61 T62 T63 T64 T65 T66 T68 T69 T70 T71 T72 T73 T74 T75 T76 T77 T78 T79 T80 T81 T82 T83 T84 T85 T86 T87 T88 T89 T90 T91" showDropDown="0" showInputMessage="0" showErrorMessage="1" allowBlank="1" error="Elegí A o B" type="list">
      <formula1>"A,B"</formula1>
    </dataValidation>
    <dataValidation sqref="K4 K16 K27 K29 K47 K48 K67 O4 O16 O27 O29 O47 O48 O67 T4 T16 T27 T29 T47 T48 T67" showDropDown="0" showInputMessage="0" showErrorMessage="1" allowBlank="1" error="Esta fila solo tiene fragmento A" type="list">
      <formula1>"A"</formula1>
    </dataValidation>
  </dataValidations>
  <hyperlinks>
    <hyperlink xmlns:r="http://schemas.openxmlformats.org/officeDocument/2006/relationships" ref="D2" r:id="rId1"/>
    <hyperlink xmlns:r="http://schemas.openxmlformats.org/officeDocument/2006/relationships" ref="D4" r:id="rId2"/>
    <hyperlink xmlns:r="http://schemas.openxmlformats.org/officeDocument/2006/relationships" ref="D6" r:id="rId3"/>
    <hyperlink xmlns:r="http://schemas.openxmlformats.org/officeDocument/2006/relationships" ref="D7" r:id="rId4"/>
    <hyperlink xmlns:r="http://schemas.openxmlformats.org/officeDocument/2006/relationships" ref="D9" r:id="rId5"/>
    <hyperlink xmlns:r="http://schemas.openxmlformats.org/officeDocument/2006/relationships" ref="D10" r:id="rId6"/>
    <hyperlink xmlns:r="http://schemas.openxmlformats.org/officeDocument/2006/relationships" ref="D12" r:id="rId7"/>
    <hyperlink xmlns:r="http://schemas.openxmlformats.org/officeDocument/2006/relationships" ref="D14" r:id="rId8"/>
    <hyperlink xmlns:r="http://schemas.openxmlformats.org/officeDocument/2006/relationships" ref="D15" r:id="rId9"/>
    <hyperlink xmlns:r="http://schemas.openxmlformats.org/officeDocument/2006/relationships" ref="D16" r:id="rId10"/>
    <hyperlink xmlns:r="http://schemas.openxmlformats.org/officeDocument/2006/relationships" ref="D18" r:id="rId11"/>
    <hyperlink xmlns:r="http://schemas.openxmlformats.org/officeDocument/2006/relationships" ref="D23" r:id="rId12"/>
    <hyperlink xmlns:r="http://schemas.openxmlformats.org/officeDocument/2006/relationships" ref="D24" r:id="rId13"/>
    <hyperlink xmlns:r="http://schemas.openxmlformats.org/officeDocument/2006/relationships" ref="D26" r:id="rId14"/>
    <hyperlink xmlns:r="http://schemas.openxmlformats.org/officeDocument/2006/relationships" ref="D29" r:id="rId15"/>
    <hyperlink xmlns:r="http://schemas.openxmlformats.org/officeDocument/2006/relationships" ref="D34" r:id="rId16"/>
    <hyperlink xmlns:r="http://schemas.openxmlformats.org/officeDocument/2006/relationships" ref="D40" r:id="rId17"/>
    <hyperlink xmlns:r="http://schemas.openxmlformats.org/officeDocument/2006/relationships" ref="D41" r:id="rId18"/>
    <hyperlink xmlns:r="http://schemas.openxmlformats.org/officeDocument/2006/relationships" ref="D42" r:id="rId19"/>
    <hyperlink xmlns:r="http://schemas.openxmlformats.org/officeDocument/2006/relationships" ref="D45" r:id="rId20"/>
    <hyperlink xmlns:r="http://schemas.openxmlformats.org/officeDocument/2006/relationships" ref="D46" r:id="rId21"/>
    <hyperlink xmlns:r="http://schemas.openxmlformats.org/officeDocument/2006/relationships" ref="D47" r:id="rId22"/>
    <hyperlink xmlns:r="http://schemas.openxmlformats.org/officeDocument/2006/relationships" ref="D48" r:id="rId23"/>
    <hyperlink xmlns:r="http://schemas.openxmlformats.org/officeDocument/2006/relationships" ref="D50" r:id="rId24"/>
    <hyperlink xmlns:r="http://schemas.openxmlformats.org/officeDocument/2006/relationships" ref="D53" r:id="rId25"/>
    <hyperlink xmlns:r="http://schemas.openxmlformats.org/officeDocument/2006/relationships" ref="D58" r:id="rId26"/>
    <hyperlink xmlns:r="http://schemas.openxmlformats.org/officeDocument/2006/relationships" ref="D59" r:id="rId27"/>
    <hyperlink xmlns:r="http://schemas.openxmlformats.org/officeDocument/2006/relationships" ref="D60" r:id="rId28"/>
    <hyperlink xmlns:r="http://schemas.openxmlformats.org/officeDocument/2006/relationships" ref="D64" r:id="rId29"/>
    <hyperlink xmlns:r="http://schemas.openxmlformats.org/officeDocument/2006/relationships" ref="D65" r:id="rId30"/>
    <hyperlink xmlns:r="http://schemas.openxmlformats.org/officeDocument/2006/relationships" ref="D69" r:id="rId31"/>
    <hyperlink xmlns:r="http://schemas.openxmlformats.org/officeDocument/2006/relationships" ref="D75" r:id="rId32"/>
    <hyperlink xmlns:r="http://schemas.openxmlformats.org/officeDocument/2006/relationships" ref="D76" r:id="rId33"/>
    <hyperlink xmlns:r="http://schemas.openxmlformats.org/officeDocument/2006/relationships" ref="D77" r:id="rId34"/>
    <hyperlink xmlns:r="http://schemas.openxmlformats.org/officeDocument/2006/relationships" ref="D78" r:id="rId35"/>
    <hyperlink xmlns:r="http://schemas.openxmlformats.org/officeDocument/2006/relationships" ref="D80" r:id="rId36"/>
    <hyperlink xmlns:r="http://schemas.openxmlformats.org/officeDocument/2006/relationships" ref="D81" r:id="rId37"/>
    <hyperlink xmlns:r="http://schemas.openxmlformats.org/officeDocument/2006/relationships" ref="D84" r:id="rId38"/>
    <hyperlink xmlns:r="http://schemas.openxmlformats.org/officeDocument/2006/relationships" ref="D85" r:id="rId39"/>
    <hyperlink xmlns:r="http://schemas.openxmlformats.org/officeDocument/2006/relationships" ref="D87" r:id="rId40"/>
    <hyperlink xmlns:r="http://schemas.openxmlformats.org/officeDocument/2006/relationships" ref="D89" r:id="rId41"/>
    <hyperlink xmlns:r="http://schemas.openxmlformats.org/officeDocument/2006/relationships" ref="D90" r:id="rId4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14" customWidth="1" min="2" max="2"/>
  </cols>
  <sheetData>
    <row r="1">
      <c r="A1" s="4" t="inlineStr">
        <is>
          <t>Avance</t>
        </is>
      </c>
    </row>
    <row r="2">
      <c r="A2" s="5" t="inlineStr">
        <is>
          <t>Términos</t>
        </is>
      </c>
      <c r="B2" s="5">
        <f>COUNTIF('Anotación'!$A$2:$A$91,"?*")</f>
        <v/>
      </c>
    </row>
    <row r="3">
      <c r="A3" s="5" t="inlineStr">
        <is>
          <t>Con anotador 1</t>
        </is>
      </c>
      <c r="B3" s="5">
        <f>COUNTIF('Anotación'!$J$2:$J$91,"?*")</f>
        <v/>
      </c>
    </row>
    <row r="4">
      <c r="A4" s="5" t="inlineStr">
        <is>
          <t>Con anotador 2</t>
        </is>
      </c>
      <c r="B4" s="5">
        <f>COUNTIF('Anotación'!$N$2:$N$91,"?*")</f>
        <v/>
      </c>
    </row>
    <row r="5">
      <c r="A5" s="5" t="inlineStr">
        <is>
          <t>Con capa final</t>
        </is>
      </c>
      <c r="B5" s="5">
        <f>COUNTIF('Anotación'!$S$2:$S$91,"?*")</f>
        <v/>
      </c>
    </row>
    <row r="6">
      <c r="A6" s="5" t="inlineStr">
        <is>
          <t>Acuerdo en capa</t>
        </is>
      </c>
      <c r="B6" s="10">
        <f>IFERROR(COUNTIF('Anotación'!$Q$2:$Q$91,"sí")/(COUNTIF('Anotación'!$Q$2:$Q$91,"sí")+COUNTIF('Anotación'!$Q$2:$Q$91,"no")),"")</f>
        <v/>
      </c>
    </row>
    <row r="7">
      <c r="A7" s="5" t="inlineStr">
        <is>
          <t>Acuerdo en fragmento</t>
        </is>
      </c>
      <c r="B7" s="10">
        <f>IFERROR(COUNTIF('Anotación'!$R$2:$R$91,"sí")/(COUNTIF('Anotación'!$R$2:$R$91,"sí")+COUNTIF('Anotación'!$R$2:$R$91,"no")),"")</f>
        <v/>
      </c>
    </row>
    <row r="9">
      <c r="A9" s="4" t="inlineStr">
        <is>
          <t>Capa final</t>
        </is>
      </c>
      <c r="B9" s="4" t="inlineStr">
        <is>
          <t>Términos</t>
        </is>
      </c>
    </row>
    <row r="10">
      <c r="A10" s="5" t="inlineStr">
        <is>
          <t>falso_amigo</t>
        </is>
      </c>
      <c r="B10" s="5">
        <f>COUNTIF('Anotación'!$S$2:$S$91,"falso_amigo")</f>
        <v/>
      </c>
    </row>
    <row r="11">
      <c r="A11" s="5" t="inlineStr">
        <is>
          <t>polisemico_interno</t>
        </is>
      </c>
      <c r="B11" s="5">
        <f>COUNTIF('Anotación'!$S$2:$S$91,"polisemico_interno")</f>
        <v/>
      </c>
    </row>
    <row r="12">
      <c r="A12" s="5" t="inlineStr">
        <is>
          <t>lunfardo_sin_homonimo</t>
        </is>
      </c>
      <c r="B12" s="5">
        <f>COUNTIF('Anotación'!$S$2:$S$91,"lunfardo_sin_homonimo")</f>
        <v/>
      </c>
    </row>
    <row r="13">
      <c r="A13" s="5" t="inlineStr">
        <is>
          <t>espanol_general</t>
        </is>
      </c>
      <c r="B13" s="5">
        <f>COUNTIF('Anotación'!$S$2:$S$91,"espanol_general")</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2026-09-24T12:00:47Z</dcterms:created>
  <dcterms:modified xsi:type="dcterms:W3CDTF">2026-09-24T12:00:47Z</dcterms:modified>
</cp:coreProperties>
</file>