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Anotación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<sst xmlns="http://schemas.openxmlformats.org/spreadsheetml/2006/main" count="1341" uniqueCount="647">
  <si>
    <t>LunfaBench · Planilla del conjunto curado</t>
  </si>
  <si>
    <t>Son los 90 términos del conjunto curado: 40 falsos amigos, 20 sin homónimo, 15 polisémicos y 15 controles, mezclados. Cada uno trae dos fragmentos reales (A y B) de canciones de artistas de Buenos Aires.</t>
  </si>
  <si>
    <t>Qué hace cada anotador</t>
  </si>
  <si>
    <t>1. Escribí tu nombre en «anotador». Cada fila la anotan dos personas, por separado: no mires la columna de la otra persona hasta terminar.</t>
  </si>
  <si>
    <t>2. En «capa», elegí de la lista qué tipo de palabra es, pensando en Buenos Aires:</t>
  </si>
  <si>
    <t xml:space="preserve">   falso_amigo: tiene una acepción de España o México que acá no se usa (curro: acá negocio turbio, en España trabajo).</t>
  </si>
  <si>
    <t xml:space="preserve">   polisemico_interno: tiene varias acepciones y todas se usan acá (pileta: piscina y pileta de la cocina).</t>
  </si>
  <si>
    <t xml:space="preserve">   lunfardo_sin_homonimo: no existe con otro sentido en España ni en México (bondi, chamuyo).</t>
  </si>
  <si>
    <t xml:space="preserve">   espanol_general: es una palabra común del español, que significa lo mismo en todos lados (ventana).</t>
  </si>
  <si>
    <t>3. En «fragmento», elegí A o B: el que usa la acepción de referencia. Si los dos la usan, el que mejor se entienda. Si ninguno, el más cercano, y contalo en «comentario».</t>
  </si>
  <si>
    <t>4. Si elegiste falso_amigo, escribí la acepción competidora y dónde se usa, por ejemplo «trabajo (España)».</t>
  </si>
  <si>
    <t>Se puede consultar el DLE y el Diccionario de americanismos. No consultes Wiktionary ni Wikcionario: son la fuente del filtro automático y el acuerdo quedaría inflado.</t>
  </si>
  <si>
    <t>Después: decisión final</t>
  </si>
  <si>
    <t>Cuando los dos anotadores terminan, las columnas «coincide» se completan solas. Si coinciden, copien la respuesta en «capa final» y «fragmento final»; si no, discútanla y dejen el motivo en «comentario».</t>
  </si>
  <si>
    <t>Celdas a completar</t>
  </si>
  <si>
    <t>Solo las celdas amarillas de la hoja Anotación. Las demás vienen del pipeline o son fórmulas. La hoja Resumen muestra el avance y el acuerdo.</t>
  </si>
  <si>
    <t>Ejemplo de fila completa (el término no está en la planilla)</t>
  </si>
  <si>
    <t>término</t>
  </si>
  <si>
    <t>acepción de referencia</t>
  </si>
  <si>
    <t>anotador 1</t>
  </si>
  <si>
    <t>capa 1</t>
  </si>
  <si>
    <t>fragmento 1</t>
  </si>
  <si>
    <t>acepción competidora 1</t>
  </si>
  <si>
    <t>torta</t>
  </si>
  <si>
    <t>Tomás</t>
  </si>
  <si>
    <t>falso_amigo</t>
  </si>
  <si>
    <t>A</t>
  </si>
  <si>
    <t>(la acepción de España o México)</t>
  </si>
  <si>
    <t>id</t>
  </si>
  <si>
    <t>fuente</t>
  </si>
  <si>
    <t>fragmento A</t>
  </si>
  <si>
    <t>canción A</t>
  </si>
  <si>
    <t>fragmento B</t>
  </si>
  <si>
    <t>canción B</t>
  </si>
  <si>
    <t>anotador 2</t>
  </si>
  <si>
    <t>capa 2</t>
  </si>
  <si>
    <t>fragmento 2</t>
  </si>
  <si>
    <t>acepción competidora 2</t>
  </si>
  <si>
    <t>coincide capa</t>
  </si>
  <si>
    <t>coincide fragmento</t>
  </si>
  <si>
    <t>capa final</t>
  </si>
  <si>
    <t>fragmento final</t>
  </si>
  <si>
    <t>comentario</t>
  </si>
  <si>
    <t>CUR-001</t>
  </si>
  <si>
    <t>gira</t>
  </si>
  <si>
    <t>Ir a muchos lugares en un mismo día Habitualmente se lo usa cuando salen a varias fiestas una misma noche</t>
  </si>
  <si>
    <t>diccionarioargentino.com</t>
  </si>
  <si>
    <t>quiero a todos los pibe' cantina / Y que levanten bien la mano los que se bancan la gira / No tomo Chandon, me sirve el Federico</t>
  </si>
  <si>
    <t>Tamo Chelo · El Noba (2021)</t>
  </si>
  <si>
    <t>Maniac in my mind en medio de la ciudad / Girl, gira el volante del todo / Boxea sin guantes que es lo que quieren todos</t>
  </si>
  <si>
    <t>KAMIKAZE · Sofía Gabanna (2023)</t>
  </si>
  <si>
    <t>Tomas Borda</t>
  </si>
  <si>
    <t>polisemico_interno</t>
  </si>
  <si>
    <t>Valentín Garfi</t>
  </si>
  <si>
    <t>lunfardo_sin_homonimo</t>
  </si>
  <si>
    <t>CUR-002</t>
  </si>
  <si>
    <t>idear</t>
  </si>
  <si>
    <t>Concebir algo nuevo con la imaginación.</t>
  </si>
  <si>
    <t>Wikcionario</t>
  </si>
  <si>
    <t>Sabiendo que no quiero que te quedes / El hacedor de ideas se estrella en su carrera / La dirección del tiempo es frágil y se tienta</t>
  </si>
  <si>
    <t>Pinamar · Francisco Bochatón</t>
  </si>
  <si>
    <t>Al anochecer seducido de tensión / Vuela sin control ideando la misión / Vértigo inmoral, juicio sin identidad</t>
  </si>
  <si>
    <t>Adicto · D-mente</t>
  </si>
  <si>
    <t>espanol_general</t>
  </si>
  <si>
    <t>B</t>
  </si>
  <si>
    <t>CUR-003</t>
  </si>
  <si>
    <t>chamuyo</t>
  </si>
  <si>
    <t>Hablarle a una persona con un propósito, mintiéndole para que te crea.</t>
  </si>
  <si>
    <t>Tango de triste motivo / Cuando siento tu chamuyo / Se queda en mi alma el arrullo</t>
  </si>
  <si>
    <t>Apología del Tango · Tita Merello (1969)</t>
  </si>
  <si>
    <t>CUR-004</t>
  </si>
  <si>
    <t>cerrar</t>
  </si>
  <si>
    <t>Colocar o modificar algo para evitar su apertura.</t>
  </si>
  <si>
    <t>Puedo relajar otra vez / Y bailar cuando cierro los ojos / Pensando en vos</t>
  </si>
  <si>
    <t>Puedo Sentirlo · David Lebón (1986)</t>
  </si>
  <si>
    <t>Solo la muerte esconde el ultimo latido debil de mi corazón / Cuando cerre mis manos / Me guarde estos recuerdos</t>
  </si>
  <si>
    <t>Reescribir Tragedias Sobre Libros Y Llamas · Dar Sangre (2008)</t>
  </si>
  <si>
    <t>CUR-005</t>
  </si>
  <si>
    <t>botón</t>
  </si>
  <si>
    <t>Soplón, delator</t>
  </si>
  <si>
    <t>Que si en la calle me afila / Me pongo al lao del botón / ¡Lo que más bronca me da</t>
  </si>
  <si>
    <t>Chorra · Edmundo Rivero (1959)</t>
  </si>
  <si>
    <t>Y el fueye, es un bandoneón / El vigilante, un botón / La policía, la cana</t>
  </si>
  <si>
    <t>Milonga Lunfarda · Edmundo Rivero (1972)</t>
  </si>
  <si>
    <t>Pieza pequeña de metal, hueso, nácar u otra materia, forrada de tela o sin forrar, que se pone en los vestidos para que, entrando en el ojal, los abroche y asegure. También se pone por adorno.</t>
  </si>
  <si>
    <t>Elevación redondeada y plana de la piel, grano/verruga (Esp.)</t>
  </si>
  <si>
    <t>CUR-006</t>
  </si>
  <si>
    <t>burra</t>
  </si>
  <si>
    <t>Forma villera de denominar la cola de una dama.</t>
  </si>
  <si>
    <t>Las pibita' me llaman, 'tamo' chelo / Me etiquetó en su burra, 'tamo' chelo / Ese gato hatea, 'tamo' chelo</t>
  </si>
  <si>
    <t>¿Y ahora qué vamo' a hacer? / La baby lo mueve, qué burra, no sabés / Tiene flow, no hay compe (No hay compe)</t>
  </si>
  <si>
    <t>Del Año · El Noba (2021)</t>
  </si>
  <si>
    <t>CUR-007</t>
  </si>
  <si>
    <t>gritar</t>
  </si>
  <si>
    <t>Hablar con la voz muy fuerte, para intimidar, alertar o comunicarse cuando el ruido de fondo impide la conversación normal.</t>
  </si>
  <si>
    <t>quieren montar como una puta encima de mi disco / Me gustaba escucharte gritar, bajaba to' el volumen / Bebiendo buena champaña y OG Kush pa' que</t>
  </si>
  <si>
    <t>Oye Baby · Zaramay (2020)</t>
  </si>
  <si>
    <t>Los que al mirar no se hacen / Ciegos por gritar / Sin pretender sen premiados</t>
  </si>
  <si>
    <t>Rugen Sus Voces · D-mente</t>
  </si>
  <si>
    <t>CUR-008</t>
  </si>
  <si>
    <t>morocho</t>
  </si>
  <si>
    <t>Persona de tez morena y/o de cabello negro o castaño oscuro.</t>
  </si>
  <si>
    <t>Duki dispara aunque Mauro dude (Dude) / Soy el niño 'el año, morocho achinado / Llevo el doble caño, flow polarizado</t>
  </si>
  <si>
    <t>Hello Cotto · Duki (2017)</t>
  </si>
  <si>
    <t>¿Dónde estarán Traverso, el Cordobés y el Noy / El Pardo Augusto, Flores y el Morocho Aldao? / Así empezó mi vuelo de zorzal</t>
  </si>
  <si>
    <t>El Cantor de Buenos Aires · Roberto Goyeneche</t>
  </si>
  <si>
    <t>CUR-009</t>
  </si>
  <si>
    <t>timba</t>
  </si>
  <si>
    <t>Casa de juegos de azar o directamente jugar juegos de cartas</t>
  </si>
  <si>
    <t>Su boca de fuego, otra vez, quiero besar / Basta de carreras, se acabó la timba / Un final reñido yo no vuelvo a ver</t>
  </si>
  <si>
    <t>Por Una Cabeza · Carlos Gardel (1935)</t>
  </si>
  <si>
    <t>De sabihondos y suicidas / Yo aprendí filosofía, dados, timba... / Y la poesía cruel</t>
  </si>
  <si>
    <t>Cafetín de Buenos Aires · Edmundo Rivero (1959)</t>
  </si>
  <si>
    <t>casa de juego.</t>
  </si>
  <si>
    <t>Panza o barriga (Méx., CR, El Salv., Guat., Hond., Nic.)</t>
  </si>
  <si>
    <t>CUR-010</t>
  </si>
  <si>
    <t>manija</t>
  </si>
  <si>
    <t>Tener manija es tener ansias o entusiasmo por algo.</t>
  </si>
  <si>
    <t>Con par de champetas yo siempre corono / 'Tamo re manija y nunca paramo' / Si pinta el after ahí nos mandamo'</t>
  </si>
  <si>
    <t>ALLA · EL NOBA (2022)</t>
  </si>
  <si>
    <t>En una cancha o en un bar / Dando la vuelta manija me doy / Subiendo al latido de esta vibración</t>
  </si>
  <si>
    <t>Toco y me voy · Bersuit Vergarabat (2000)</t>
  </si>
  <si>
    <t>CUR-011</t>
  </si>
  <si>
    <t>viejo</t>
  </si>
  <si>
    <t>Sinonimo de padre/papá en el lunfardo argentino.</t>
  </si>
  <si>
    <t>por sonsa, a fuerza de compasión / Como quedaste en la vía y tu viejo, un pobre tano / Era chivo con los cosos pelandrunes como vos</t>
  </si>
  <si>
    <t>Lloró Como Una Mujer · Edmundo Rivero (1967)</t>
  </si>
  <si>
    <t>Mi mamá tomando merca, todo enfrente 'e mi cara (Fiumba) / Y mi viejo después de eso me echó fuera 'e la casa / Pero si no</t>
  </si>
  <si>
    <t>OPA · Dillom (2021)</t>
  </si>
  <si>
    <t>Se dice de la persona de edad</t>
  </si>
  <si>
    <t>Mujer, persona del sexo femenino (coloq.; Bol. y Méx.)</t>
  </si>
  <si>
    <t>CUR-012</t>
  </si>
  <si>
    <t>macana</t>
  </si>
  <si>
    <t>Error, equivocación; cosa mal hecha.</t>
  </si>
  <si>
    <t>De envenenarse mi hermana / No hay bochinche ni macana / Que en tu homenaje no hiciera</t>
  </si>
  <si>
    <t>Rebota en la fuente / ¡Ay, qué macana! / Se posa en su frente</t>
  </si>
  <si>
    <t>La tortuga Uga · Flor Ansaldo (2020)</t>
  </si>
  <si>
    <t>f. Am. Garrote grueso. Hay vigilantes de barrio (muchachos adolescentes con macanas y tubos de fierro). [C].</t>
  </si>
  <si>
    <t>CUR-013</t>
  </si>
  <si>
    <t>pico</t>
  </si>
  <si>
    <t>En Argentina, dícese que significa o representa, la accion humana de indole apareamental entre humanos, comunmente denominada "beso".</t>
  </si>
  <si>
    <t>Todo' los pibito' fumando del rico / Toda' esa' bandida' quieren darme un pico / Por allá el machimbre parece milico</t>
  </si>
  <si>
    <t>Un bicho gordo como un salchichón / Dice “qué rico” y abriendo el pico / Pesca al perrito como un camarón</t>
  </si>
  <si>
    <t>El Show Del Perro Salchicha · María Elena Walsh (1966)</t>
  </si>
  <si>
    <t>Cima puntiaguda de una montaña</t>
  </si>
  <si>
    <t>Colín de pan pequeño (Esp.)</t>
  </si>
  <si>
    <t>CUR-014</t>
  </si>
  <si>
    <t>cana</t>
  </si>
  <si>
    <t>Refiriéndose a la policia, a ir detenido a la comisaria o prisión.</t>
  </si>
  <si>
    <t>Que se nos cruza en la vida / Por vos he morfao más canas / Que pelos tengo en el mate</t>
  </si>
  <si>
    <t>Como me engrupiste vos / Está en cana, prontuariado / Como agente 'e la camorra</t>
  </si>
  <si>
    <t>Fragmento A usa el sentido literal (pelo canoso: "...más canas que pelos tengo en el mate"), no el rioplatense (policía/preso); por eso se eligió B.</t>
  </si>
  <si>
    <t>CUR-015</t>
  </si>
  <si>
    <t>mango</t>
  </si>
  <si>
    <t>Sinónimo de dinero.</t>
  </si>
  <si>
    <t>De manguero doctorao / Y que un mango descubrís / Aunque lo hayan enterrao</t>
  </si>
  <si>
    <t>Dónde Hay Un Mango? · Tita Merello (1965)</t>
  </si>
  <si>
    <t>Cuando rajés los tamangos / Buscando este mango / Que te haga morfar</t>
  </si>
  <si>
    <t>Yira, Yira · Carlos Gardel (1930)</t>
  </si>
  <si>
    <t>Parte alargada, estrecha y con un extremo libre, por la que se puede agarrar un instrumento o utensilio</t>
  </si>
  <si>
    <t>Persona guapa, atractiva (El Salv., Méx. y Nic.)</t>
  </si>
  <si>
    <t>CUR-016</t>
  </si>
  <si>
    <t>malevo</t>
  </si>
  <si>
    <t>Vulgar, propio del arrabal.</t>
  </si>
  <si>
    <t>Se dice de mí / Se dice que soy fiera, que camino a lo malevo / Que soy chueca y que me muevo con un aire compadrón</t>
  </si>
  <si>
    <t>Se Dice de Mí · Tita Merello (1955)</t>
  </si>
  <si>
    <t>Nacido en los suburbios / Malevos y turbios / Hoy</t>
  </si>
  <si>
    <t>Yo soy el tango · Miguel Caló</t>
  </si>
  <si>
    <t>CUR-017</t>
  </si>
  <si>
    <t>gil</t>
  </si>
  <si>
    <t>Insulto a una persona que no cumple lo pautado o no tiene códigos</t>
  </si>
  <si>
    <t>En el amor yo solo sé / Que a más de un gil dejé de a pie / Podrán decir, podrán hablar</t>
  </si>
  <si>
    <t>¡Lo que más bronca me da / Es haber estao' tan gil! / Si hace un mes me desayuno</t>
  </si>
  <si>
    <t>CUR-018</t>
  </si>
  <si>
    <t>bailar</t>
  </si>
  <si>
    <t>Derrotar contundentemente.</t>
  </si>
  <si>
    <t>de aquí, cuántos de ellos aún están / Ahora mírame a mí, que te la puedo bailar / Solo elígeme el beat, el resto lo hace papá</t>
  </si>
  <si>
    <t>Vivimos Deprisa · Sofía Gabanna (2021)</t>
  </si>
  <si>
    <t>CUR-019</t>
  </si>
  <si>
    <t>pobre</t>
  </si>
  <si>
    <t>Que tiene pocos bienes materiales.</t>
  </si>
  <si>
    <t>ahí que tenerla presente / Muchas te amarán siendo rico y pocas siendo pobre, fuck (Ey) / Si lo que yo hago yo no lo pueden hacer</t>
  </si>
  <si>
    <t>Nena · Zaramay (2018)</t>
  </si>
  <si>
    <t>Se van al sobre, yo no sobro (No sobro) / De pobre a rico como Rondo (Rondo) / Ya me conocen como el monstruo</t>
  </si>
  <si>
    <t>CUR-020</t>
  </si>
  <si>
    <t>cotorro</t>
  </si>
  <si>
    <t>Inmueble o habitación destinada para encuentros amorosos clandestinos.</t>
  </si>
  <si>
    <t>Agarrar lo que está hecho / El cotorro es el lugar / Donde se hace el amor</t>
  </si>
  <si>
    <t>Pa' olvidarme de tu amor / Cuando voy a mi cotorro / Y lo veo desarreglado</t>
  </si>
  <si>
    <t>Mi noche triste · Carlos Gardel (1917)</t>
  </si>
  <si>
    <t>adj. Méx. Dicho de una cosa: Bonita, atractiva, interesante.</t>
  </si>
  <si>
    <t>Bonita, atractiva, interesante (adj., Méx.)</t>
  </si>
  <si>
    <t>CUR-021</t>
  </si>
  <si>
    <t>piola</t>
  </si>
  <si>
    <t>Adjetivo que califica a quien resuelve situaciones gracias a su ingenio; también algo que está bueno.</t>
  </si>
  <si>
    <t>Acá no se usa chupín, se viste ancho / No te hagas el piola, si en Varela sos un pancho / Si quiero te arrebato, no compro</t>
  </si>
  <si>
    <t>PICA · EL NOBA (2022)</t>
  </si>
  <si>
    <t>Estoy de gira por el barrio y mañana tengo fecha / Pero me porto piola, así la 12 no sospecha / (Fuck, try me)</t>
  </si>
  <si>
    <t>A$AP · Dillom (2019)</t>
  </si>
  <si>
    <t>f. Cuerda delgada.</t>
  </si>
  <si>
    <t>CUR-022</t>
  </si>
  <si>
    <t>curro</t>
  </si>
  <si>
    <t>Situación arreglada previamente, generalmente de manera injusta y/o inmoral.</t>
  </si>
  <si>
    <t>dealer' en lo' burro' (Uh) / Aprovechen el momento y saquen provecho al curro (Uh, uh-uh) / Ya tú sabe', canto envido (Ya lo dije con susurro)</t>
  </si>
  <si>
    <t>Freestyle Session #14 “LOS INTOCABLES” · Zaramay (2021)</t>
  </si>
  <si>
    <t>Sos cadenera, flor sin berretines / Que currás a los cuores con tu rango; / Pero el choma que aceita tus patines</t>
  </si>
  <si>
    <t>A Buenos Aires Lunfa · Edmundo Rivero (1967)</t>
  </si>
  <si>
    <t>m. coloq. trabajo (‖ acción de trabajar).</t>
  </si>
  <si>
    <t>Trabajo o labor (uso cotidiano en España; el DLE no lo marca regionalmente)</t>
  </si>
  <si>
    <t>CUR-023</t>
  </si>
  <si>
    <t>pendejo</t>
  </si>
  <si>
    <t>1 Usado para describir a alguien joven (Pendejo significa realmente pelo del pubis) 2 Usado a veces para describir a persona despectivamente a  alguien medio tonto.</t>
  </si>
  <si>
    <t>El día que muera, moriré en mi ley, ah / Una pendeja egoísta, un poco masoquista / Su familia es cheta, sus papás son macristas</t>
  </si>
  <si>
    <t>Buenos tiempos · Dillom (2024)</t>
  </si>
  <si>
    <t>Me jode / Lejos del complejo de pendejos que la soben / Ven un lazo con el viejo rap, entonces no lo roben</t>
  </si>
  <si>
    <t>Oro Puro · 808god (2020)</t>
  </si>
  <si>
    <t>adj. coloq. Tonto, estúpido. Mex</t>
  </si>
  <si>
    <t>Tonto, estúpido (muy asociado a México; el DLE no lo marca regionalmente)</t>
  </si>
  <si>
    <t>CUR-024</t>
  </si>
  <si>
    <t>guita</t>
  </si>
  <si>
    <t>Significa dinero, plata.</t>
  </si>
  <si>
    <t>Y al vivo le baten rana / La guita o el vento es / El dinero que circula</t>
  </si>
  <si>
    <t>fin de mes me dan miguitas para que no me queje / Puta, yo quiero mi guita, no escuchar boludeces / Estoy tan cansado de este sentimiento</t>
  </si>
  <si>
    <t>Mi peor enemigo · Dillom (2024)</t>
  </si>
  <si>
    <t>CUR-025</t>
  </si>
  <si>
    <t>chabón</t>
  </si>
  <si>
    <t>Término coloquial para referirse a un chico o una chica.</t>
  </si>
  <si>
    <t>El chorro, un vulgar ladrón / Al zonzo, llaman chabón / Y al vivo le baten rana</t>
  </si>
  <si>
    <t>Ese cuerpo compadrón, algún... / Algún oscuro chabón / Será el llamado a cargarte</t>
  </si>
  <si>
    <t>En un feca · Edmundo Rivero (1975)</t>
  </si>
  <si>
    <t>CUR-026</t>
  </si>
  <si>
    <t>viste</t>
  </si>
  <si>
    <t>Muletilla para confirmar que el interlocutor sigue el relato; equivale a «¿sabés?» o «¿entendés?».</t>
  </si>
  <si>
    <t>definición del grupo (no figura en Wikcionario ni en diccionarioargentino.com)</t>
  </si>
  <si>
    <t>Las tardecitas de Buenos Aires tiene ese qué sé yo, ¿viste? / Salís de tu casa por Arenales, lo de siempre en la calle y en</t>
  </si>
  <si>
    <t>Balada Para un Loco · Roberto Goyeneche (1969)</t>
  </si>
  <si>
    <t>Acepción rioplatense = muletilla confirmatoria; "viste" como forma verbal de "ver" es general en todo el español.</t>
  </si>
  <si>
    <t>CUR-027</t>
  </si>
  <si>
    <t>flor</t>
  </si>
  <si>
    <t>Antepuesto a un sustantivo, indica que es grande o notable: flor de susto, flor de quilombo.</t>
  </si>
  <si>
    <t>definición del grupo (el sentido intensificador no figura en las tres fuentes del pipeline)</t>
  </si>
  <si>
    <t>te da también te quita / Que se hace la viva y está muerta la mosquita / Que parecía un duro y es un flor de mantequita</t>
  </si>
  <si>
    <t>Esa mierda · Sara Hebe (2012)</t>
  </si>
  <si>
    <t>La luz de todos los colores, cantando / El color de una piel y de una flor / Una guitarra y tu voz</t>
  </si>
  <si>
    <t>Estaré · Los Visitantes (1996)</t>
  </si>
  <si>
    <t>CUR-028</t>
  </si>
  <si>
    <t>quilombo</t>
  </si>
  <si>
    <t>Forma de decir caos, desorden, pelea, un gran problema.</t>
  </si>
  <si>
    <t>que pega como Cotto / Soy de lo' pibes del fondo (Uh), de los adicto' al quilombo (Uh) / Mejor no ronquen con mi combo (Más na')</t>
  </si>
  <si>
    <t>Estamos todos jugados, nada nos importa ya / Sigamos haciendo quilombo / La yuta no nos va llevar</t>
  </si>
  <si>
    <t>Los Pibes Chorros · Los Pibes Chorros (2001)</t>
  </si>
  <si>
    <t>CUR-029</t>
  </si>
  <si>
    <t>jalar</t>
  </si>
  <si>
    <t>Inhalar con fines psicoactivos los vapores de un disolvente, generalmente colocándolo en una bolsa que se acerca a la boca y la nariz.</t>
  </si>
  <si>
    <t>Podés encontrarme por ahí, perdido sin Waze / Jalando popper con los gays / El día que muera, moriré en mi ley</t>
  </si>
  <si>
    <t>Te busco x esos pasillos / Por ti jalo el gatillo / Que lo que tenga q pasar</t>
  </si>
  <si>
    <t>Quiero · Stefy Xipolitakis</t>
  </si>
  <si>
    <t>tr. coloq. Tirar de algo o de alguien. Esp</t>
  </si>
  <si>
    <t>CUR-030</t>
  </si>
  <si>
    <t>tesoro</t>
  </si>
  <si>
    <t>Depósito de plata, oro, y otros bienes de gran valor.</t>
  </si>
  <si>
    <t>Vamos a desembarcar / Muchos tesoros, joyas y perlas / Que ha conseguido ganar</t>
  </si>
  <si>
    <t>El Pirata Cara de Rata · Flor Ansaldo (2020)</t>
  </si>
  <si>
    <t>De tus ojos nunca quiero verme lejos / ¡Divinos tesoros de amor y de ensueño! / De tus ojos vivo</t>
  </si>
  <si>
    <t>Ruego · Felipe Boero</t>
  </si>
  <si>
    <t>CUR-031</t>
  </si>
  <si>
    <t>capo</t>
  </si>
  <si>
    <t>Ser capo es ser muy bueno en algo, ser el mejor.</t>
  </si>
  <si>
    <t>quedo guapo si la ven conmigo, eh / Guapo eh, guapo, uh, sapo, soy el capo del hood / Tanto al mes, tanto flu', guapo, guapo, guapo</t>
  </si>
  <si>
    <t>Guapo · YSY A (2018)</t>
  </si>
  <si>
    <t>¡Con sentimiento! / El Ruca, el Loco Ale y Toca, el capo de la villa / Re tirado y descontrolado, un pucho loco me estoy fumando</t>
  </si>
  <si>
    <t>Pucho Loco · Damas Gratis (2008)</t>
  </si>
  <si>
    <t>CUR-032</t>
  </si>
  <si>
    <t>muerto</t>
  </si>
  <si>
    <t>Inhábil, sobre todo cuando refiere a juegos o deportes.</t>
  </si>
  <si>
    <t>nunca me quiso, y estoy loco por su beso / Mañana puedo estar muerto, como también estar preso / Si salgo de casa, no sabré si vo'a</t>
  </si>
  <si>
    <t>Freestyle Session #5 · Zaramay (2019)</t>
  </si>
  <si>
    <t>Ver fuerza salir del lodo / Watch me, ya muerta, pero escribiendo hits / I am confuse como Cuasimodo</t>
  </si>
  <si>
    <t>Ni A ni B reflejan claramente el sentido rioplatense de referencia (inhábil en juegos/deportes); ambos suenan al sentido literal. Revisar con Tomás.</t>
  </si>
  <si>
    <t>CUR-033</t>
  </si>
  <si>
    <t>birra</t>
  </si>
  <si>
    <t>Forma de decirle a la cerveza.</t>
  </si>
  <si>
    <t>Acá siempre son 4:20, y estamo' de la cabeza, con simpleza / Birra barata y mala en lata, má' la planta santa esa / La que calma</t>
  </si>
  <si>
    <t>CANGURO · WOS (2019)</t>
  </si>
  <si>
    <t>se hace larga tengo que remar / Si es un día de calor unas birras tomar / Pero hay algo que me atrapa y no puedo escapar</t>
  </si>
  <si>
    <t>Lo Peor · Kumbia Queers (2015)</t>
  </si>
  <si>
    <t>CUR-034</t>
  </si>
  <si>
    <t>vento</t>
  </si>
  <si>
    <t>Dinero, en especial en efectivo.</t>
  </si>
  <si>
    <t>'Tam-tam-tamo' chelo / Mis ñeri' toman tussi en un Vento / De como terminamo', mejor no te cuento</t>
  </si>
  <si>
    <t>CUR-035</t>
  </si>
  <si>
    <t>fierro</t>
  </si>
  <si>
    <t>Arma de fuego.</t>
  </si>
  <si>
    <t>de usar tanga (Jaja) / Pa' pelea' el Luna Park, desde que hay fierro nadie e' langa / No pode' hablar de má' cuando hay dos ase'</t>
  </si>
  <si>
    <t>La mafia a tu banda la saca del vuelo / Y listo, llevo fierro cheto y chico / Porque .9 usan los milico' (Oh)</t>
  </si>
  <si>
    <t>Tamo Chelo (Remix) · EL NOBA (2022)</t>
  </si>
  <si>
    <t>CUR-036</t>
  </si>
  <si>
    <t>turro</t>
  </si>
  <si>
    <t>Persona de mal proceder, de poca confianza.</t>
  </si>
  <si>
    <t>son más de lo mismo (Oh, oh) / Y que vos querés un turro que esté puesto pa' quererte / Y pa' sacarte de tu vida normal</t>
  </si>
  <si>
    <t>Mamichula · Trueno (2020)</t>
  </si>
  <si>
    <t>Pa' eso feka' tengo repelente / Yo no soy un turro, tengo el corazón valiente, yah / Yo soy del barrio desde que nací</t>
  </si>
  <si>
    <t>Azul y Oro · Trueno (2020)</t>
  </si>
  <si>
    <t>CUR-037</t>
  </si>
  <si>
    <t>dormir</t>
  </si>
  <si>
    <t>Engañar a alguien para obtener un beneficio.</t>
  </si>
  <si>
    <t>Cuando pierda todas las partidas / Cuando duerma con la soledad / Cuando se me cierren las salidas</t>
  </si>
  <si>
    <t>Resistiré (Versión Reggaetón) · Zulma Lobato (2009)</t>
  </si>
  <si>
    <t>Turbulencia, aguamiel / El día se durmió / Aplazado al calor, pasionaria</t>
  </si>
  <si>
    <t>Alas de la Mañana · Lito Epumer (2004)</t>
  </si>
  <si>
    <t>Ni A ni B reflejan claramente el sentido rioplatense de referencia (engañar); ambos suenan al sentido literal. Revisar con Tomás.</t>
  </si>
  <si>
    <t>CUR-038</t>
  </si>
  <si>
    <t>taco</t>
  </si>
  <si>
    <t>Parte posterior elevada del calzado.</t>
  </si>
  <si>
    <t>elegante hablando, lady, no hace falta un saco / Y a ti pa' ser mujer no te hacen falta tacos / Mis negro' experimentan con el amoniaco</t>
  </si>
  <si>
    <t>Salta, bitch, jumpin' and jumpin' (Jumpin'), jumpin' / Bitch, now, la quiero en tacos, compitiendo como Elvira Hancock (Uh) / Que tengo mis puta' pero quiero a</t>
  </si>
  <si>
    <t>Elvira · 808God (2016)</t>
  </si>
  <si>
    <t>Tortilla de maíz enrollada con relleno, comida típica (Méx.)</t>
  </si>
  <si>
    <t>CUR-039</t>
  </si>
  <si>
    <t>boludo</t>
  </si>
  <si>
    <t>Persona estupida, tonta, una persona imbecil</t>
  </si>
  <si>
    <t>a llevarte a lo profundo de mi mente / ¿Te pensás que soy boludo? ¿Que no sé cuándo me mienten? / Te pensás que yo no tengo</t>
  </si>
  <si>
    <t>Muñecas · Dillom (2024)</t>
  </si>
  <si>
    <t>Me la pone tan gorda que le hacen body-shaming / (Ay, same, boluda, yo también tengo ascendente en sagitario,</t>
  </si>
  <si>
    <t>adj. Méx. Que tiene protuberancias.</t>
  </si>
  <si>
    <t>Que tiene bultos o protuberancias (Méx.)</t>
  </si>
  <si>
    <t>CUR-040</t>
  </si>
  <si>
    <t>mate</t>
  </si>
  <si>
    <t>Bebida con yerba, tradicional de Argentina. CÓMO NO VAS A SABER QUÉ ES UN MATE?! xd</t>
  </si>
  <si>
    <t>Por vos he morfao más canas / Que pelos tengo en el mate / Por vos hizo el disparate</t>
  </si>
  <si>
    <t>Siempre traigo bizcochitos / Pa' tomar con matecito / Como si estuvieras vos</t>
  </si>
  <si>
    <t>Al menos 3 acepciones usadas acá: la bebida, jaque mate (ajedrez), y "cabeza" (coloq.).</t>
  </si>
  <si>
    <t>CUR-041</t>
  </si>
  <si>
    <t>cargar</t>
  </si>
  <si>
    <t>Tomarle el pelo a alguien.</t>
  </si>
  <si>
    <t>Me puse a pensar si vale la pena / Cargar esa cruz por ti, por mí / Dame una señal</t>
  </si>
  <si>
    <t>Cuero 皮膚 · Yesan 雪山 (2023)</t>
  </si>
  <si>
    <t>Hicimos del ruido las respuestas / Caminamos los desposeídos cargando los mantos que cubrirán sus cuerpos</t>
  </si>
  <si>
    <t>Pedagogía de la venganza · Cienfuegos (2021)</t>
  </si>
  <si>
    <t>Ninguno de los dos fragmentos (A ni B) refleja el sentido de referencia (burlarse/tomar el pelo); ambos usan "cargar" en sentido literal de peso. Fragmento sin elegir, revisar con Tomás o posible reemplazo.</t>
  </si>
  <si>
    <t>CUR-042</t>
  </si>
  <si>
    <t>blanca</t>
  </si>
  <si>
    <t>Principio activo de la coca extraído en forma de clorhidrato, usado como medicamento y en especial como droga recreativa.</t>
  </si>
  <si>
    <t>Una guitarra y tu voz / La blanca y cálida luz / Del sol</t>
  </si>
  <si>
    <t>Conocí una cheta con la piel naranja / Ella tomaba keta y yo tomaba blanca / Me dijo que se drogaba una vez cada tanto</t>
  </si>
  <si>
    <t>CUR-043</t>
  </si>
  <si>
    <t>raro</t>
  </si>
  <si>
    <t>Que no es corriente, que es diferente a lo común en su clase.</t>
  </si>
  <si>
    <t>Algunas personas no saben de lo que yo hablo / Dicen que esto es raro y eso es un halago / Dicen que esto es</t>
  </si>
  <si>
    <t>No Hay Rencor · Sofía Gabanna (2019)</t>
  </si>
  <si>
    <t>es que te molesta (Wow, yeah) / Sé que a veces soy muy raro y no te doy respuesta, huh (Skrrt) / Pero estás enamora', tu cara</t>
  </si>
  <si>
    <t>iPhone · Zell (2024)</t>
  </si>
  <si>
    <t>CUR-044</t>
  </si>
  <si>
    <t>porteño</t>
  </si>
  <si>
    <t>Proveniente del puerto de Buenos Aires. Hace mucho tiempo atrás, la ciudad de Buenos aires era la única en tener puerto para sida de barco en el país , entonces quienes vivían allí eran "porteños ".  Este término se sigue utilizando hasta hoy en día.</t>
  </si>
  <si>
    <t>Que tengo para vos / Loco, loco, loco, cuando anochezca en tu porteña soledad / Por la ribera de tu sabana vendré con un poema y un</t>
  </si>
  <si>
    <t>Llevo un sello de nobleza / Soy porteña de una pieza / Tengo voz de bandoneón</t>
  </si>
  <si>
    <t>Arrabalera · Tita Merello (1955)</t>
  </si>
  <si>
    <t>CUR-045</t>
  </si>
  <si>
    <t>pinta</t>
  </si>
  <si>
    <t>''pinta'' o se usa cuando le preguntás a alguien qué tiene ganas de hacer algo, o cuando le preguntás si está de acuerdo en hacer lo que vos querés.</t>
  </si>
  <si>
    <t>Y me pongo loco, re loco, re loco / Si pinta un mellizo ella le da hasta el piso / Se va de caravana y nunca le</t>
  </si>
  <si>
    <t>Piloto · EL NOBA (2022)</t>
  </si>
  <si>
    <t>bien ahí al ritmo. ¿Cómo e'? 'tamo acá con el Maxi, si pinta, despué' a la noche o más tarde nos cruzamo' ahí pa' pega'</t>
  </si>
  <si>
    <t>CUR-046</t>
  </si>
  <si>
    <t>junar</t>
  </si>
  <si>
    <t>Sinónimo de conocer, reconocer, ser conocido.</t>
  </si>
  <si>
    <t>re del after / Y el telo paga la vuelta, y no te juno en la del Master / Me escuchan los pibito' que andan en chapa</t>
  </si>
  <si>
    <t>Del Año · EL NOBA (2021)</t>
  </si>
  <si>
    <t>También daba clases de hombría de bien; / Junaba de noches y de madrugadas / Piloteaba aviones y más de un beguén</t>
  </si>
  <si>
    <t>A lo Megata · Edmundo Rivero (1982)</t>
  </si>
  <si>
    <t>CUR-047</t>
  </si>
  <si>
    <t>logi</t>
  </si>
  <si>
    <t>Persona tonta, estúpida, aburrida. Sinónimo de Gil.</t>
  </si>
  <si>
    <t>Todo' lo' podere' corte Kakaroto / Logi, no te peine', no salí' en la foto / Ayer vino tu guacha, era mi copiloto</t>
  </si>
  <si>
    <t>KAKAROTO · El Noba</t>
  </si>
  <si>
    <t>CUR-048</t>
  </si>
  <si>
    <t>boliche</t>
  </si>
  <si>
    <t>Es el lugar donde se suele ir a bailar; en otros países se conoce como discoteca.</t>
  </si>
  <si>
    <t>gusta cuando tú te me sigue' (Sí) / Te ponen música en el boliche y te la vive' (Uh-uh) / Cumbia con reggaetón, un perreo 'e salón</t>
  </si>
  <si>
    <t>No puedo sacarla de mi mente en toda la semana / Hace cuatro meses que yo vengo a este boliche / Para verte bailar entre la gente</t>
  </si>
  <si>
    <t>Daniela · Kumbia Queers (2010)</t>
  </si>
  <si>
    <t>Bolera, lugar para jugar al boliche/bowling (Méx.)</t>
  </si>
  <si>
    <t>CUR-049</t>
  </si>
  <si>
    <t>rajar</t>
  </si>
  <si>
    <t>utilizado en situaciones en las cuales debes irte muy rapido, inmediatamente porque tenes alguna obligacion, porque te mandaste alguna cagada, etc.</t>
  </si>
  <si>
    <t>Y apoliyar es dormirse / Rajar o piantarse es irse / Y esto lo manya cualquiera</t>
  </si>
  <si>
    <t>Si los cacha, los da vuelta / No les da tiempo a rajar / ¡Lo que más bronca me da</t>
  </si>
  <si>
    <t>tr. Dividir en rajas.</t>
  </si>
  <si>
    <t>Hablar mal de alguien, desacreditarlo (Méx., entre otros)</t>
  </si>
  <si>
    <t>CUR-050</t>
  </si>
  <si>
    <t>cien</t>
  </si>
  <si>
    <t>Signo o signos usados para representar al número que tiene cien unidades.</t>
  </si>
  <si>
    <t>Quiero despertar y estar contigo de viaje / Y que los billetes de cien dolares caigan del traje / La nena quiere una Ferrari de carruaje (Ey)</t>
  </si>
  <si>
    <t>Sé frontear, pero no exagero / Llegué a cien, vine desde cero / Dólare' desde el extranjero</t>
  </si>
  <si>
    <t>GIVENCHY · Duki (2022)</t>
  </si>
  <si>
    <t>CUR-051</t>
  </si>
  <si>
    <t>boca</t>
  </si>
  <si>
    <t>Abertura anterior del tubo digestivo de los animales, por el cual se ingieren los alimentos.</t>
  </si>
  <si>
    <t>Pero si un mirar me hiere al pasar / Su boca de fuego, otra vez, quiero besar / Basta de carreras, se acabó la timba</t>
  </si>
  <si>
    <t>Leguisamo, mi nariz es puntiaguda / La figura no me ayuda y mi boca es un buzón / Si charlo con Luis, con Pedro o con Juan</t>
  </si>
  <si>
    <t>CUR-052</t>
  </si>
  <si>
    <t>percanta</t>
  </si>
  <si>
    <t>Mujer o mina, puede que se use con connotacion negativa</t>
  </si>
  <si>
    <t>Letra de "Mi Noche Triste" / Percanta que me amuraste / En lo mejor de mi vida</t>
  </si>
  <si>
    <t>Mi noche triste alumbrar / Percanta que me amuraste / En lo mejor de mi vida</t>
  </si>
  <si>
    <t>CUR-053</t>
  </si>
  <si>
    <t>paciencia</t>
  </si>
  <si>
    <t>Calma en la realización de alguna actividad.</t>
  </si>
  <si>
    <t>Se tragaron, vos, la “viuda” y el “guerrero” / Lo que me costó diez años de paciencia y de yugar / ¡Chorros!...</t>
  </si>
  <si>
    <t>Vieja no me va a querer; / En Europa y con paciencia / Me podrán embellecer"</t>
  </si>
  <si>
    <t>Manuelita La Tortuga · María Elena Walsh (1964)</t>
  </si>
  <si>
    <t>CUR-054</t>
  </si>
  <si>
    <t>pelar</t>
  </si>
  <si>
    <t>Dejar pelado a alguien, gastar o quitar todo el dinero.</t>
  </si>
  <si>
    <t>Malandrín y estafador / Entre todos me pelaron con la cero / Tu silueta fue el anzuelo, donde yo me fui a ensartar</t>
  </si>
  <si>
    <t>porque su vida no es interesante (Ey) / Pa' tomar una Coca antes pelábamos el cobre / Y ahora por nuestra coca mandan el dinero en sobre</t>
  </si>
  <si>
    <t>prnl. Méx. Irse, escapar, huir precipitadamente.</t>
  </si>
  <si>
    <t>Irse/escapar precipitadamente, o morir (Méx., El Salv.)</t>
  </si>
  <si>
    <t>Ninguno de los dos fragmentos refleja con claridad "sacar plata a alguien"; A es ambiguo (posible arma) y B es sobre pelar cables de cobre, literal. Fragmento sin elegir, revisar con Tomás o posible reemplazo.</t>
  </si>
  <si>
    <t>CUR-055</t>
  </si>
  <si>
    <t>vacío</t>
  </si>
  <si>
    <t>Corte de carne tomado del vientre del vacuno, desde la parte posterior de la última costilla hasta la articulación del anca. Es una carne magra y tierna, empleada con frecuencia para el asado.</t>
  </si>
  <si>
    <t>Es para valientes que van por más! / El vacío que llevamos se agranda / Dentro de nuestro interior</t>
  </si>
  <si>
    <t>El Manual De Las Derrotas · Carajo (2019)</t>
  </si>
  <si>
    <t>en esta vida se me ha complicado (Oh-oh-oh) / Por eso me siento vacío y un poco frustrado (Oh-oh-oh) / Me siento mal, ya no sé ni</t>
  </si>
  <si>
    <t>U.S.A · LiL CaKe (2020)</t>
  </si>
  <si>
    <t>Ninguno de los dos fragmentos usa el sentido de referencia (corte de carne); ambos son el sentido figurado de "vacío emocional". Fragmento sin elegir, revisar con Tomás o posible reemplazo.</t>
  </si>
  <si>
    <t>CUR-056</t>
  </si>
  <si>
    <t>mina</t>
  </si>
  <si>
    <t>Mujer, chica.</t>
  </si>
  <si>
    <t>en un 'pernó' mezclo a Paris con Puente Alsina / Fuiste compadre del botón y de la mina / Y hasta comadre del gavión y la pebeta</t>
  </si>
  <si>
    <t>El Choclo · Tita Merello (1954)</t>
  </si>
  <si>
    <t>El dolor de unas cadenas que me queman las muñecas / Y una mina que arrodilla mis arrestos de varón / Yo quiero morir conmigo</t>
  </si>
  <si>
    <t>Como Abrazo a un Rencor · Edmundo Rivero (1967)</t>
  </si>
  <si>
    <t>CUR-057</t>
  </si>
  <si>
    <t>curtir</t>
  </si>
  <si>
    <t>Gustar de algo o alguien, tener preferencia por determinada cosa, comportamiento o hábito.</t>
  </si>
  <si>
    <t>cheta con money y cocaine / Me invitan un tiro y yo que las deliro, me voy a curtir a las diez / Tengan veinte o dieciséis</t>
  </si>
  <si>
    <t>contando lo que yo viví (-ví) / Fuck tu film, los pi' no curtimos esa ni ahí / Pueden rimar, pa', pero no ser na' más pa'</t>
  </si>
  <si>
    <t>Crow · Acru (2018)</t>
  </si>
  <si>
    <t>CUR-058</t>
  </si>
  <si>
    <t>fumar</t>
  </si>
  <si>
    <t>Coloq. Véase soportar, aguantar</t>
  </si>
  <si>
    <t>gente habla de más, solo es porque responde el vivo / ¿De que fumo mucho porro?, ¿que me gusta el efectivo? / Todo bien, pero ustedes siguen</t>
  </si>
  <si>
    <t>Yo te quiero corazon y no te tengo rencor / Fumo del malo y del bueno / Veo pasar el tiempo soñando lo que quiero</t>
  </si>
  <si>
    <t>Plantala · Kumbia Queers (2015)</t>
  </si>
  <si>
    <t>Ninguno de los dos fragmentos refleja el sentido de referencia (aguantar/soportar); ambos usan "fumar" literalmente (cigarrillo/porro). Fragmento sin elegir, revisar con Tomás o posible reemplazo.</t>
  </si>
  <si>
    <t>CUR-059</t>
  </si>
  <si>
    <t>careta</t>
  </si>
  <si>
    <t>Persona hipócrita, falsa, doble cara.</t>
  </si>
  <si>
    <t>Acá la que más cobra suele ser la mas barata / Y siempre hay un careta que transa con una rata / ¡Basta, pará! No quiero hacerlo</t>
  </si>
  <si>
    <t>Porque al primero que se haga el ortiba / Por pancho y careta le vamos a dar / ''Mamá Chorra, tenes razón''</t>
  </si>
  <si>
    <t>Llegamos los Pibes Chorros · Los Pibes Chorros (2002)</t>
  </si>
  <si>
    <t>CUR-060</t>
  </si>
  <si>
    <t>cero</t>
  </si>
  <si>
    <t>Nombre del número 0.</t>
  </si>
  <si>
    <t>CUR-061</t>
  </si>
  <si>
    <t>labio</t>
  </si>
  <si>
    <t>Parte del cuerpo que se parece a un labio₁, como el borde de una herida o las partes de los órganos genitales.</t>
  </si>
  <si>
    <t>Que la tierra pidió / Labios, sed, cautividad / Mar, vendimia, gravedad</t>
  </si>
  <si>
    <t>tu lengua es de serpiente / Tu piel es la más suave y tus labios son crujientes / Si fueras una escort, yo sería tu mejor cliente</t>
  </si>
  <si>
    <t>CUR-062</t>
  </si>
  <si>
    <t>remera</t>
  </si>
  <si>
    <t>Prenda de vestir que cubre el torso, de mangas cortas; camiseta.</t>
  </si>
  <si>
    <t>Usa siempre el mismo pantalón / Y una remera de los Rolling Stones, la colorada / Está buena por delante y por detrás</t>
  </si>
  <si>
    <t>La colorada · Los Pibes Chorros (2003)</t>
  </si>
  <si>
    <t>De una ola que no para de crecer / Hoy su cara está en todas las remeras / Es un muerto que no para de nacer</t>
  </si>
  <si>
    <t>Murguita del sur · Bersuit Vergarabat (1998)</t>
  </si>
  <si>
    <t>CUR-063</t>
  </si>
  <si>
    <t>trap</t>
  </si>
  <si>
    <t>Subgénero del Rap.</t>
  </si>
  <si>
    <t>Porque sé que mañana con Agustín cenas / Lo mismo dije con el trap, me comeré la escena (Ey) / No le temo a la muerte, tengo</t>
  </si>
  <si>
    <t>ahora hay tantas mujere' que por la noche me llaman / Esto del trap me incomoda porque toda' me la maman / Yo arriba y tú de</t>
  </si>
  <si>
    <t>Nombre del género musical, préstamo del inglés usado igual en todos los dialectos; no tiene carga rioplatense.</t>
  </si>
  <si>
    <t>CUR-064</t>
  </si>
  <si>
    <t>chorro</t>
  </si>
  <si>
    <t>Persona que ha robado, ladron, delincuente</t>
  </si>
  <si>
    <t>Lo que me costó diez años de paciencia y de yugar / ¡Chorros!... / Vos, tu vieja y tu papá</t>
  </si>
  <si>
    <t>El que roba es el que afana / El chorro, un vulgar ladrón / Al zonzo, llaman chabón</t>
  </si>
  <si>
    <t>CUR-065</t>
  </si>
  <si>
    <t>reír</t>
  </si>
  <si>
    <t>Reírse (emitir sonidos de alegría con la boca).</t>
  </si>
  <si>
    <t>Acaricia mi ensueño, el suave murmullo de tu suspirar / Como ríe la vida si tus ojos negros me quieren mirar / Y si es mío el</t>
  </si>
  <si>
    <t>El Dia Que Me Quieras · Carlos Gardel (1934)</t>
  </si>
  <si>
    <t>Y una banderita de taxi libre levantada en cada mano / Te reís, pero solo vos me ves / Porque los maniquíes me guiñan, los semáforos me</t>
  </si>
  <si>
    <t>CUR-066</t>
  </si>
  <si>
    <t>faso</t>
  </si>
  <si>
    <t>Sinónimo de cigarrillo, puede ser de marihuana o de tabaco indistintamente.</t>
  </si>
  <si>
    <t>a dos casas de mi puntero / Por eso cuando voy a comprar faso la veo / Ella me dice: "Chico, invitáme a fumar que ese es</t>
  </si>
  <si>
    <t>Una Vela · Intoxicados (2003)</t>
  </si>
  <si>
    <t>El recuerdo de tu voz que me decía: / "Largá el faso, las pastillas y el alcohol" / Sin embargo, yo seguí dándole duro</t>
  </si>
  <si>
    <t>Sentimiento villero · Los Pibes Chorros (2001)</t>
  </si>
  <si>
    <t>CUR-067</t>
  </si>
  <si>
    <t>plato</t>
  </si>
  <si>
    <t>Situación o persona divertida y alegre.</t>
  </si>
  <si>
    <t>Donde el pichón se cansó de esperar / Pone en el plato liebre por gato / Cosa que a todos nos puede pasar</t>
  </si>
  <si>
    <t>contrato' (Poh, poh) / Los fanes son los que van a llenar el plato / Y si no estoy contigo, el que te haga sufrir lo mato</t>
  </si>
  <si>
    <t>Ni A ni B reflejan "situación/persona divertida" con claridad (A es el modismo "dar gato por liebre" = engañar; B es un modismo de recaudación). Candidato a reemplazo: re-correr pipeline/stage03b_contextos.py apuntado a este término con tope más alto.</t>
  </si>
  <si>
    <t>CUR-068</t>
  </si>
  <si>
    <t>quemar</t>
  </si>
  <si>
    <t>Delatar a una persona o hacerla objeto de burla. Una persona también puede «quemarse» a sí misma.</t>
  </si>
  <si>
    <t>Que al jurar sonriendo, el amor que está mintiendo / Quema en una hoguera todo mi querer / Por una cabeza</t>
  </si>
  <si>
    <t>mi avenida (-nida) / Casi que la veo desde el balcón mientra' estoy quemando porquería / ¿Que quién me creo que soy? El mejor al meno' en</t>
  </si>
  <si>
    <t>Rockstar · Duki (2017)</t>
  </si>
  <si>
    <t>Desacreditar (El Salv. y Méx.)</t>
  </si>
  <si>
    <t>B suena a "fumar algo" más que a "delatar/burlar", que es la acepción de referencia. Candidato a reemplazo, re-correr el pipeline para este término.</t>
  </si>
  <si>
    <t>CUR-069</t>
  </si>
  <si>
    <t>ruido</t>
  </si>
  <si>
    <t>Sonido, en especial el que es fuerte y desagradable.</t>
  </si>
  <si>
    <t>Encerrado en mi cuarto y afuera llovía fuerte / Escuché un ruido fuerte y fui a fijarme / Subí a la terraza y vos estabas por tirarte,</t>
  </si>
  <si>
    <t>Últimamente · Dillom (2024)</t>
  </si>
  <si>
    <t>invité a salir / Vamos a la fiesta de un amigo, hay mucho escabio y mucho ruido / Un chabón me deliró y un roscazo se comió</t>
  </si>
  <si>
    <t>Qué mala suerte! · 2 Minutos (1994)</t>
  </si>
  <si>
    <t>CUR-070</t>
  </si>
  <si>
    <t>yuta</t>
  </si>
  <si>
    <t>De origen lunfardo, quiere decir policía.</t>
  </si>
  <si>
    <t>Se creen dueños, salgan del medio, lo digo en serio / Fuera la yuta que meten al barrio, le tira a los pibe' y le mata</t>
  </si>
  <si>
    <t>Descarten los tubos, empiecen a correr / La yuta esta muy cerca, no da para correr / El oficial grita, "¡Contra la pared!</t>
  </si>
  <si>
    <t>Demasiado tarde (La marcha) · 2 Minutos (1994)</t>
  </si>
  <si>
    <t>CUR-071</t>
  </si>
  <si>
    <t>catrera</t>
  </si>
  <si>
    <t>Cama plegable con armazón de tijera.</t>
  </si>
  <si>
    <t>Que hace la vida fulera / La cama es una catrera / Y apoliyar es dormirse</t>
  </si>
  <si>
    <t>Como si estuvieras vos / Y si vieras la catrera / Como se pone cabrera</t>
  </si>
  <si>
    <t>CUR-072</t>
  </si>
  <si>
    <t>sal</t>
  </si>
  <si>
    <t>Dicho de algo, que es de alto costo, caro, de precio alto.</t>
  </si>
  <si>
    <t>Muy lejos del sol, que quema de amor / Te doy pan, quieres sal / Nena, nunca te voy a dar lo que me pides</t>
  </si>
  <si>
    <t>Seminare · David Lebón (2018)</t>
  </si>
  <si>
    <t>Y es igual a las guirnaldas / Y es que este día es algo de sal / Me dejó vibrando al nacer</t>
  </si>
  <si>
    <t>Canción Para los Días de la Vida · María Gabriela Epumer (2000)</t>
  </si>
  <si>
    <t>Ninguno de los dos fragmentos usa claramente el sentido "caro/costoso". Candidato a reemplazo, re-correr el pipeline para este término.</t>
  </si>
  <si>
    <t>CUR-073</t>
  </si>
  <si>
    <t>pucho</t>
  </si>
  <si>
    <t>Forma en que se les dice a los cigarrillos.</t>
  </si>
  <si>
    <t>(Este es el balneario de los doctores) / Ni del pucho que se fuma, ni la lámpara que cuelga / (Este es el balneario de los doctores</t>
  </si>
  <si>
    <t>El Balneario de los Doctores Crotos · Los Piojos (1998)</t>
  </si>
  <si>
    <t>Re tirado y descontrolado, un pucho loco me estoy fumando / Estoy sangrando y no tengo miedo ya de morir</t>
  </si>
  <si>
    <t>CUR-074</t>
  </si>
  <si>
    <t>joder</t>
  </si>
  <si>
    <t>En argentina usamos joder como sinonimo de molestar o un fastidio</t>
  </si>
  <si>
    <t>Todo' saben la' consecuencia' de jugar con lo' metal' / Si me joden al pana te hago dos por uno en funeral (¿Oíste?) / Empecé escribiendo pa'</t>
  </si>
  <si>
    <t>Tienen el mundo enfrente a sus ojos y no lo ven / Me jode / Lejos del complejo de pendejos que la soben</t>
  </si>
  <si>
    <t>intr. malson. Practicar el coito.</t>
  </si>
  <si>
    <t>CUR-075</t>
  </si>
  <si>
    <t>trucho</t>
  </si>
  <si>
    <t>si se refiere a un objeto, significa que es falso, de mala calidad, copiado, con algún desperfecto o algo que anda mal</t>
  </si>
  <si>
    <t>gusta que no pregunten mucho / Que estén buscando amor pero ese amor del trucho / Que sepan que el dolor y el placer es tan efímero</t>
  </si>
  <si>
    <t>Flores &amp; Bombones · Yesan 雪山 (2025)</t>
  </si>
  <si>
    <t>CUR-076</t>
  </si>
  <si>
    <t>duro</t>
  </si>
  <si>
    <t>Estar muy drogado</t>
  </si>
  <si>
    <t>Cabrones, dejen su mensaje ya, después de la señal / La vida es dura, y es común tener que enterrar a un abuelo / Pero no levantar</t>
  </si>
  <si>
    <t>Fría la noche como duro el pisar / La encontraron bajo un árbol aquí atrás</t>
  </si>
  <si>
    <t>Georgia Lee · Roxana Amed</t>
  </si>
  <si>
    <t>m. Esp. Moneda de cinco pesetas.</t>
  </si>
  <si>
    <t>Moneda de cinco pesetas, ya desaparecida (Esp.)</t>
  </si>
  <si>
    <t>Ninguno de los dos fragmentos usa el sentido "drogado"; ambos parecen literales/figurados distintos. Candidato a reemplazo, re-correr el pipeline para este término.</t>
  </si>
  <si>
    <t>CUR-077</t>
  </si>
  <si>
    <t>guarda</t>
  </si>
  <si>
    <t>Forma de llamar la atención. Significa "mira" (imperativo del verbo mirar) en italiano.</t>
  </si>
  <si>
    <t>Vos, tu vieja y tu papá / ¡Guarda!... / Cuidensé porque anda suelta</t>
  </si>
  <si>
    <t>Yo asi le responderia / Guarda tu confiteria sultan / De Constantinopla...</t>
  </si>
  <si>
    <t>Rosas orientales · Julián Aguirre</t>
  </si>
  <si>
    <t>CUR-078</t>
  </si>
  <si>
    <t>gota</t>
  </si>
  <si>
    <t>Volumen pequeño de agua u otro líquido delimitado casi completamente por superficies libres y generalmente con forma cercana a la de una esfera.</t>
  </si>
  <si>
    <t>Y cómo volver a ser el mismo / Si no me queda ni una gota de amor / Que no te haya dado esta mañana</t>
  </si>
  <si>
    <t>Laberinto De Pasiones · Comida China</t>
  </si>
  <si>
    <t>Nacidas a la luz de las estrellas / Y cubiertas de gotas de rocío / Algo del cielo de la noche en ellas</t>
  </si>
  <si>
    <t>Mensaje · Felipe Boero</t>
  </si>
  <si>
    <t>CUR-079</t>
  </si>
  <si>
    <t>corte</t>
  </si>
  <si>
    <t>Sinonimo de "tipo"  "osea" y "como"</t>
  </si>
  <si>
    <t>'Tamo re puesto y no para la moto / Todo' lo' podere' corte Kakaroto / Logi, no te peine', no salí' en la foto</t>
  </si>
  <si>
    <t>Volvió el turrito, el que siempre hace desastre / Corte 6 a.m. te paso a busca' en el Lander / Tomamos esa rola y la seguimo' re</t>
  </si>
  <si>
    <t>CUR-080</t>
  </si>
  <si>
    <t>batir</t>
  </si>
  <si>
    <t>Delatar</t>
  </si>
  <si>
    <t>Al zonzo, llaman chabón / Y al vivo le baten rana / La guita o el vento es</t>
  </si>
  <si>
    <t>I destroy my pain con un bate, mamá / So I am the líder en mi vida, no hay chance</t>
  </si>
  <si>
    <t>B usa "bate" (el objeto/palo), no el verbo "batir" en sentido de delatar. Candidato a revisar "El Ciruja" (tango clásico con mucho lunfardo) como fuente alternativa, o re-correr el pipeline.</t>
  </si>
  <si>
    <t>CUR-081</t>
  </si>
  <si>
    <t>muñeca</t>
  </si>
  <si>
    <t>Habilidad, destreza.</t>
  </si>
  <si>
    <t>Por más que no lo crea yo / Ya la muñeca se acabo / Es seguro que un novio tendrás</t>
  </si>
  <si>
    <t>El tiempo pasa y se va · Carlos Javier Beltrán (1982)</t>
  </si>
  <si>
    <t>sensación / Si soy fiera sé que, en cambio, tengo un cutis de muñeca / Los que dicen que soy chueca no me han visto en camisón</t>
  </si>
  <si>
    <t>CUR-082</t>
  </si>
  <si>
    <t>ciego</t>
  </si>
  <si>
    <t>Jugador al que le han tocado malas cartas.</t>
  </si>
  <si>
    <t>Condenados, lejos del sol / Nacimos ciegos, nacimos muertos / Salimos del pozo a cavar sus tumbas</t>
  </si>
  <si>
    <t>CUR-083</t>
  </si>
  <si>
    <t>bacán</t>
  </si>
  <si>
    <t>Persona de alto nivel de vida, muy cómoda y acomodada.</t>
  </si>
  <si>
    <t>Del barrio la mondiola sos el más rana / Y te llaman garufa por lo bacán; / Tenés más pretensiones que bataclana</t>
  </si>
  <si>
    <t>Garufa · Tita Merello (1968)</t>
  </si>
  <si>
    <t>Pebeta de mi barrio, papa, papusa / Que andás paseando en auto con un bacán / Que te has cortado el pelo como se usa</t>
  </si>
  <si>
    <t>Pompas · Roberto Goyeneche (1967)</t>
  </si>
  <si>
    <t>CUR-084</t>
  </si>
  <si>
    <t>quebrar</t>
  </si>
  <si>
    <t>Escabiar hasta vomitar</t>
  </si>
  <si>
    <t>¿No ven que soy gotán? / Me quiebro en mi canción / Como un puñal de acero</t>
  </si>
  <si>
    <t>El que a tu guacha se llevó / Y el que en el baile te re quebró</t>
  </si>
  <si>
    <t>Ninguno de los dos fragmentos refleja "emborracharse hasta vomitar"; B es sobre un paso de baile. Candidato a reemplazo, re-correr el pipeline para este término.</t>
  </si>
  <si>
    <t>CUR-085</t>
  </si>
  <si>
    <t>cristal</t>
  </si>
  <si>
    <t>Pieza de vidrio u otra sustancia transparente o semitransparente que se coloca en el hueco de una ventana o una vitrina.</t>
  </si>
  <si>
    <t>la brisa, rumor de melodía / Y nos darán las fuentes su canto de cristal / El día que me quieras endulzará sus cuerdas el pájaro cantor</t>
  </si>
  <si>
    <t>"¿tus cosa'?, hola, ¿qué tal?" / Es otra noche que vuelvo a llenar la copa 'e cristal / Todo' saben la' consecuencia' de jugar con lo' metal'</t>
  </si>
  <si>
    <t>CUR-086</t>
  </si>
  <si>
    <t>gato</t>
  </si>
  <si>
    <t>Hombre que anda con muchas mujeres (no necesariamente prostitutas), también puede ser usado para hablar con un amigo.</t>
  </si>
  <si>
    <t>Me etiquetó en su burra, 'tamo' chelo / Ese gato hatea, 'tamo' chelo / 'Tam-tam-tamo' chelo</t>
  </si>
  <si>
    <t>Persona nacida en Madrid (coloq., Esp.)</t>
  </si>
  <si>
    <t>CUR-087</t>
  </si>
  <si>
    <t>compadrón</t>
  </si>
  <si>
    <t>Hombre que trata de imitar al compadrito, pero que carece de la cultura y buenas maneras de él.</t>
  </si>
  <si>
    <t>soy fiera, que camino a lo malevo / Que soy chueca y que me muevo con un aire compadrón / Que parezco Leguisamo, mi nariz es puntiaguda</t>
  </si>
  <si>
    <t>Yo soy propia hermana entera / De chiclana y compadrón / Si me gano el morfi diario</t>
  </si>
  <si>
    <t>CUR-088</t>
  </si>
  <si>
    <t>colgar</t>
  </si>
  <si>
    <t>Olvidar algo o no prestar atención.</t>
  </si>
  <si>
    <t>Y vo' sabé' que soy yo / El que la colgó en el Falcon / El que a tu guacha se llevó</t>
  </si>
  <si>
    <t>Buscando esa gatita que le guste el peligro / Patente tapada, tiro un cuelgue y nos re vimo' / ¿Y ahora qué vamo' a hacer?</t>
  </si>
  <si>
    <t>CUR-089</t>
  </si>
  <si>
    <t>verde</t>
  </si>
  <si>
    <t>Sinónimo de dólares, moneda estadounidense. Un palo verde son mil dólares.</t>
  </si>
  <si>
    <t>Pero acá si somos hombres, y hacemos correr la sangre / Hablame de verdes, de billetes, de mil y quinientos / No me gustan las cazafortuna' y</t>
  </si>
  <si>
    <t>Como tú, era pálido y lejano / Negro el pelo, los ojos verde gris / Y eran suaves sus manos, y eran sus versos tristes</t>
  </si>
  <si>
    <t>Tal vez será tu voz · Lidia Borda (2011)</t>
  </si>
  <si>
    <t>CUR-090</t>
  </si>
  <si>
    <t>atado</t>
  </si>
  <si>
    <t>Paquete de cigarrillos.</t>
  </si>
  <si>
    <t>congelo las palabras que nacen y mueren en mi! / Tanto tiempo estuve atado en el frió de tus manos / Tanto tiempo encerrado en el frió</t>
  </si>
  <si>
    <t>Te Amo · Dar Sangre (2008)</t>
  </si>
  <si>
    <t>Con un poco 'e estilo acá to' lo logramo' / Los tengo afuera con el perro atado / Esperan a que calle pa' mete' un bocado</t>
  </si>
  <si>
    <t>Ninguno de los dos fragmentos usa el sentido "paquete de cigarrillos"; ambos son el participio literal de "atar". Candidato a reemplazo, re-correr el pipeline para este término.</t>
  </si>
  <si>
    <t>Avance</t>
  </si>
  <si>
    <t>Términos</t>
  </si>
  <si>
    <t>Con anotador 1</t>
  </si>
  <si>
    <t>Con anotador 2</t>
  </si>
  <si>
    <t>Con capa final</t>
  </si>
  <si>
    <t>Acuerdo en capa</t>
  </si>
  <si>
    <t>Acuerdo en fragmento</t>
  </si>
  <si>
    <t>Capa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</si>
</sst>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0"/>
      <name val="Arial"/>
    </font>
    <font>
      <b/>
      <sz val="10"/>
      <name val="Arial"/>
    </font>
    <font>
      <u/>
      <color rgb="FF1F5FAD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E7E6E1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CFC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ccionarioargentino.com/term/gira" TargetMode="External"/><Relationship Id="rId2" Type="http://schemas.openxmlformats.org/officeDocument/2006/relationships/hyperlink" Target="https://www.diccionarioargentino.com/term/Chamuyo+" TargetMode="External"/><Relationship Id="rId3" Type="http://schemas.openxmlformats.org/officeDocument/2006/relationships/hyperlink" Target="https://www.diccionarioargentino.com/term/bot%C3%B3n" TargetMode="External"/><Relationship Id="rId4" Type="http://schemas.openxmlformats.org/officeDocument/2006/relationships/hyperlink" Target="https://www.diccionarioargentino.com/term/Burra" TargetMode="External"/><Relationship Id="rId5" Type="http://schemas.openxmlformats.org/officeDocument/2006/relationships/hyperlink" Target="https://www.diccionarioargentino.com/term/morocho" TargetMode="External"/><Relationship Id="rId6" Type="http://schemas.openxmlformats.org/officeDocument/2006/relationships/hyperlink" Target="https://www.diccionarioargentino.com/term/Timba" TargetMode="External"/><Relationship Id="rId7" Type="http://schemas.openxmlformats.org/officeDocument/2006/relationships/hyperlink" Target="https://www.diccionarioargentino.com/term/Manija" TargetMode="External"/><Relationship Id="rId8" Type="http://schemas.openxmlformats.org/officeDocument/2006/relationships/hyperlink" Target="https://www.diccionarioargentino.com/term/viejo" TargetMode="External"/><Relationship Id="rId9" Type="http://schemas.openxmlformats.org/officeDocument/2006/relationships/hyperlink" Target="https://www.diccionarioargentino.com/term/macana" TargetMode="External"/><Relationship Id="rId10" Type="http://schemas.openxmlformats.org/officeDocument/2006/relationships/hyperlink" Target="https://www.diccionarioargentino.com/term/pico" TargetMode="External"/><Relationship Id="rId11" Type="http://schemas.openxmlformats.org/officeDocument/2006/relationships/hyperlink" Target="https://www.diccionarioargentino.com/term/cana" TargetMode="External"/><Relationship Id="rId12" Type="http://schemas.openxmlformats.org/officeDocument/2006/relationships/hyperlink" Target="https://www.diccionarioargentino.com/term/mango" TargetMode="External"/><Relationship Id="rId13" Type="http://schemas.openxmlformats.org/officeDocument/2006/relationships/hyperlink" Target="https://www.diccionarioargentino.com/term/Gil" TargetMode="External"/><Relationship Id="rId14" Type="http://schemas.openxmlformats.org/officeDocument/2006/relationships/hyperlink" Target="https://www.diccionarioargentino.com/term/piola" TargetMode="External"/><Relationship Id="rId15" Type="http://schemas.openxmlformats.org/officeDocument/2006/relationships/hyperlink" Target="https://www.diccionarioargentino.com/term/curro" TargetMode="External"/><Relationship Id="rId16" Type="http://schemas.openxmlformats.org/officeDocument/2006/relationships/hyperlink" Target="https://www.diccionarioargentino.com/term/Pendejo" TargetMode="External"/><Relationship Id="rId17" Type="http://schemas.openxmlformats.org/officeDocument/2006/relationships/hyperlink" Target="https://www.diccionarioargentino.com/term/guita" TargetMode="External"/><Relationship Id="rId18" Type="http://schemas.openxmlformats.org/officeDocument/2006/relationships/hyperlink" Target="https://www.diccionarioargentino.com/term/chabon" TargetMode="External"/><Relationship Id="rId19" Type="http://schemas.openxmlformats.org/officeDocument/2006/relationships/hyperlink" Target="https://www.diccionarioargentino.com/term/quilombo" TargetMode="External"/><Relationship Id="rId20" Type="http://schemas.openxmlformats.org/officeDocument/2006/relationships/hyperlink" Target="https://www.diccionarioargentino.com/term/capo" TargetMode="External"/><Relationship Id="rId21" Type="http://schemas.openxmlformats.org/officeDocument/2006/relationships/hyperlink" Target="https://www.diccionarioargentino.com/term/birra" TargetMode="External"/><Relationship Id="rId22" Type="http://schemas.openxmlformats.org/officeDocument/2006/relationships/hyperlink" Target="https://www.diccionarioargentino.com/term/fierro" TargetMode="External"/><Relationship Id="rId23" Type="http://schemas.openxmlformats.org/officeDocument/2006/relationships/hyperlink" Target="https://www.diccionarioargentino.com/term/turro" TargetMode="External"/><Relationship Id="rId24" Type="http://schemas.openxmlformats.org/officeDocument/2006/relationships/hyperlink" Target="https://www.diccionarioargentino.com/term/boludo" TargetMode="External"/><Relationship Id="rId25" Type="http://schemas.openxmlformats.org/officeDocument/2006/relationships/hyperlink" Target="https://www.diccionarioargentino.com/term/Mate" TargetMode="External"/><Relationship Id="rId26" Type="http://schemas.openxmlformats.org/officeDocument/2006/relationships/hyperlink" Target="https://www.diccionarioargentino.com/term/Cargar" TargetMode="External"/><Relationship Id="rId27" Type="http://schemas.openxmlformats.org/officeDocument/2006/relationships/hyperlink" Target="https://www.diccionarioargentino.com/term/porte%C3%B1o" TargetMode="External"/><Relationship Id="rId28" Type="http://schemas.openxmlformats.org/officeDocument/2006/relationships/hyperlink" Target="https://www.diccionarioargentino.com/term/pinta" TargetMode="External"/><Relationship Id="rId29" Type="http://schemas.openxmlformats.org/officeDocument/2006/relationships/hyperlink" Target="https://www.diccionarioargentino.com/term/junar" TargetMode="External"/><Relationship Id="rId30" Type="http://schemas.openxmlformats.org/officeDocument/2006/relationships/hyperlink" Target="https://www.diccionarioargentino.com/term/Logi" TargetMode="External"/><Relationship Id="rId31" Type="http://schemas.openxmlformats.org/officeDocument/2006/relationships/hyperlink" Target="https://www.diccionarioargentino.com/term/boliche" TargetMode="External"/><Relationship Id="rId32" Type="http://schemas.openxmlformats.org/officeDocument/2006/relationships/hyperlink" Target="https://www.diccionarioargentino.com/term/Rajar" TargetMode="External"/><Relationship Id="rId33" Type="http://schemas.openxmlformats.org/officeDocument/2006/relationships/hyperlink" Target="https://www.diccionarioargentino.com/term/percanta" TargetMode="External"/><Relationship Id="rId34" Type="http://schemas.openxmlformats.org/officeDocument/2006/relationships/hyperlink" Target="https://www.diccionarioargentino.com/term/mina" TargetMode="External"/><Relationship Id="rId35" Type="http://schemas.openxmlformats.org/officeDocument/2006/relationships/hyperlink" Target="https://www.diccionarioargentino.com/term/Curtir" TargetMode="External"/><Relationship Id="rId36" Type="http://schemas.openxmlformats.org/officeDocument/2006/relationships/hyperlink" Target="https://www.diccionarioargentino.com/term/fumar" TargetMode="External"/><Relationship Id="rId37" Type="http://schemas.openxmlformats.org/officeDocument/2006/relationships/hyperlink" Target="https://www.diccionarioargentino.com/term/careta" TargetMode="External"/><Relationship Id="rId38" Type="http://schemas.openxmlformats.org/officeDocument/2006/relationships/hyperlink" Target="https://www.diccionarioargentino.com/term/remera" TargetMode="External"/><Relationship Id="rId39" Type="http://schemas.openxmlformats.org/officeDocument/2006/relationships/hyperlink" Target="https://www.diccionarioargentino.com/term/Trap" TargetMode="External"/><Relationship Id="rId40" Type="http://schemas.openxmlformats.org/officeDocument/2006/relationships/hyperlink" Target="https://www.diccionarioargentino.com/term/chorro" TargetMode="External"/><Relationship Id="rId41" Type="http://schemas.openxmlformats.org/officeDocument/2006/relationships/hyperlink" Target="https://www.diccionarioargentino.com/term/faso" TargetMode="External"/><Relationship Id="rId42" Type="http://schemas.openxmlformats.org/officeDocument/2006/relationships/hyperlink" Target="https://www.diccionarioargentino.com/term/quemar" TargetMode="External"/><Relationship Id="rId43" Type="http://schemas.openxmlformats.org/officeDocument/2006/relationships/hyperlink" Target="https://www.diccionarioargentino.com/term/yuta" TargetMode="External"/><Relationship Id="rId44" Type="http://schemas.openxmlformats.org/officeDocument/2006/relationships/hyperlink" Target="https://www.diccionarioargentino.com/term/salado" TargetMode="External"/><Relationship Id="rId45" Type="http://schemas.openxmlformats.org/officeDocument/2006/relationships/hyperlink" Target="https://www.diccionarioargentino.com/term/pucho" TargetMode="External"/><Relationship Id="rId46" Type="http://schemas.openxmlformats.org/officeDocument/2006/relationships/hyperlink" Target="https://www.diccionarioargentino.com/term/joder" TargetMode="External"/><Relationship Id="rId47" Type="http://schemas.openxmlformats.org/officeDocument/2006/relationships/hyperlink" Target="https://www.diccionarioargentino.com/term/trucho" TargetMode="External"/><Relationship Id="rId48" Type="http://schemas.openxmlformats.org/officeDocument/2006/relationships/hyperlink" Target="https://www.diccionarioargentino.com/term/Duro" TargetMode="External"/><Relationship Id="rId49" Type="http://schemas.openxmlformats.org/officeDocument/2006/relationships/hyperlink" Target="https://www.diccionarioargentino.com/term/Guarda" TargetMode="External"/><Relationship Id="rId50" Type="http://schemas.openxmlformats.org/officeDocument/2006/relationships/hyperlink" Target="https://www.diccionarioargentino.com/term/Corte" TargetMode="External"/><Relationship Id="rId51" Type="http://schemas.openxmlformats.org/officeDocument/2006/relationships/hyperlink" Target="https://www.diccionarioargentino.com/term/batir" TargetMode="External"/><Relationship Id="rId52" Type="http://schemas.openxmlformats.org/officeDocument/2006/relationships/hyperlink" Target="https://www.diccionarioargentino.com/term/bacan" TargetMode="External"/><Relationship Id="rId53" Type="http://schemas.openxmlformats.org/officeDocument/2006/relationships/hyperlink" Target="https://www.diccionarioargentino.com/term/quebrar" TargetMode="External"/><Relationship Id="rId54" Type="http://schemas.openxmlformats.org/officeDocument/2006/relationships/hyperlink" Target="https://www.diccionarioargentino.com/term/gato" TargetMode="External"/><Relationship Id="rId55" Type="http://schemas.openxmlformats.org/officeDocument/2006/relationships/hyperlink" Target="https://www.diccionarioargentino.com/term/Colgar" TargetMode="External"/><Relationship Id="rId56" Type="http://schemas.openxmlformats.org/officeDocument/2006/relationships/hyperlink" Target="https://www.diccionarioargentino.com/term/verd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42.142857142857146" customWidth="1"/>
    <col min="2" max="24" width="13.571428571428571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3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3" t="s">
        <v>12</v>
      </c>
    </row>
    <row r="15" spans="1:1" x14ac:dyDescent="0.25">
      <c r="A15" s="2" t="s">
        <v>13</v>
      </c>
    </row>
    <row r="16" spans="1:1" x14ac:dyDescent="0.25">
      <c r="A16" s="3" t="s">
        <v>14</v>
      </c>
    </row>
    <row r="17" spans="1:1" x14ac:dyDescent="0.25">
      <c r="A17" s="2" t="s">
        <v>15</v>
      </c>
    </row>
    <row r="18" spans="1:1" x14ac:dyDescent="0.25">
      <c r="A18" s="3" t="s">
        <v>16</v>
      </c>
    </row>
    <row r="20" spans="1:6" x14ac:dyDescent="0.25">
      <c r="A20" s="4" t="s">
        <v>17</v>
      </c>
      <c r="B20" s="4" t="s">
        <v>18</v>
      </c>
      <c r="C20" s="4" t="s">
        <v>19</v>
      </c>
      <c r="D20" s="4" t="s">
        <v>20</v>
      </c>
      <c r="E20" s="4" t="s">
        <v>21</v>
      </c>
      <c r="F20" s="4" t="s">
        <v>22</v>
      </c>
    </row>
    <row r="21" spans="1:6" x14ac:dyDescent="0.25">
      <c r="A21" s="5" t="s">
        <v>23</v>
      </c>
      <c r="B21" s="5"/>
      <c r="C21" s="5" t="s">
        <v>24</v>
      </c>
      <c r="D21" s="5" t="s">
        <v>25</v>
      </c>
      <c r="E21" s="5" t="s">
        <v>26</v>
      </c>
      <c r="F21" s="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9.285714285714286" customWidth="1"/>
    <col min="2" max="2" width="13" customWidth="1"/>
    <col min="3" max="3" width="42" customWidth="1"/>
    <col min="4" max="4" width="16" customWidth="1"/>
    <col min="5" max="5" width="42.142857142857146" customWidth="1"/>
    <col min="6" max="6" width="24" customWidth="1"/>
    <col min="7" max="7" width="42.142857142857146" customWidth="1"/>
    <col min="8" max="8" width="24" customWidth="1"/>
    <col min="9" max="9" width="13.142857142857142" customWidth="1"/>
    <col min="10" max="10" width="20" customWidth="1"/>
    <col min="11" max="11" width="11" customWidth="1"/>
    <col min="12" max="12" width="24" customWidth="1"/>
    <col min="13" max="13" width="11" customWidth="1"/>
    <col min="14" max="14" width="20" customWidth="1"/>
    <col min="15" max="15" width="11" customWidth="1"/>
    <col min="16" max="16" width="24" customWidth="1"/>
    <col min="17" max="17" width="9.285714285714286" customWidth="1"/>
    <col min="18" max="18" width="10" customWidth="1"/>
    <col min="19" max="19" width="20" customWidth="1"/>
    <col min="20" max="20" width="11" customWidth="1"/>
    <col min="21" max="21" width="30" customWidth="1"/>
    <col min="22" max="24" width="13.571428571428571" customWidth="1"/>
  </cols>
  <sheetData>
    <row r="1" spans="1:21" x14ac:dyDescent="0.25">
      <c r="A1" s="6" t="s">
        <v>28</v>
      </c>
      <c r="B1" s="6" t="s">
        <v>17</v>
      </c>
      <c r="C1" s="6" t="s">
        <v>18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19</v>
      </c>
      <c r="J1" s="6" t="s">
        <v>20</v>
      </c>
      <c r="K1" s="6" t="s">
        <v>21</v>
      </c>
      <c r="L1" s="6" t="s">
        <v>22</v>
      </c>
      <c r="M1" s="6" t="s">
        <v>34</v>
      </c>
      <c r="N1" s="6" t="s">
        <v>35</v>
      </c>
      <c r="O1" s="6" t="s">
        <v>36</v>
      </c>
      <c r="P1" s="6" t="s">
        <v>37</v>
      </c>
      <c r="Q1" s="6" t="s">
        <v>38</v>
      </c>
      <c r="R1" s="6" t="s">
        <v>39</v>
      </c>
      <c r="S1" s="6" t="s">
        <v>40</v>
      </c>
      <c r="T1" s="6" t="s">
        <v>41</v>
      </c>
      <c r="U1" s="6" t="s">
        <v>42</v>
      </c>
    </row>
    <row r="2" ht="45" customHeight="1" spans="1:21" x14ac:dyDescent="0.25">
      <c r="A2" s="7" t="s">
        <v>43</v>
      </c>
      <c r="B2" s="7" t="s">
        <v>44</v>
      </c>
      <c r="C2" s="7" t="s">
        <v>45</v>
      </c>
      <c r="D2" s="8" t="s">
        <v>46</v>
      </c>
      <c r="E2" s="7" t="s">
        <v>47</v>
      </c>
      <c r="F2" s="7" t="s">
        <v>48</v>
      </c>
      <c r="G2" s="7" t="s">
        <v>49</v>
      </c>
      <c r="H2" s="7" t="s">
        <v>50</v>
      </c>
      <c r="I2" s="9" t="s">
        <v>51</v>
      </c>
      <c r="J2" s="9" t="s">
        <v>52</v>
      </c>
      <c r="K2" s="9" t="s">
        <v>26</v>
      </c>
      <c r="L2" s="9"/>
      <c r="M2" s="9" t="s">
        <v>53</v>
      </c>
      <c r="N2" s="9" t="s">
        <v>54</v>
      </c>
      <c r="O2" s="9" t="s">
        <v>26</v>
      </c>
      <c r="P2" s="9"/>
      <c r="Q2" s="7">
        <f>IF(OR(J2="",N2=""),"",IF(J2=N2,"sí","no"))</f>
      </c>
      <c r="R2" s="7">
        <f>IF(OR(K2="",O2=""),"",IF(K2=O2,"sí","no"))</f>
      </c>
      <c r="S2" s="9"/>
      <c r="T2" s="9"/>
      <c r="U2" s="9"/>
    </row>
    <row r="3" ht="45" customHeight="1" spans="1:21" x14ac:dyDescent="0.25">
      <c r="A3" s="7" t="s">
        <v>55</v>
      </c>
      <c r="B3" s="7" t="s">
        <v>56</v>
      </c>
      <c r="C3" s="7" t="s">
        <v>57</v>
      </c>
      <c r="D3" s="7" t="s">
        <v>58</v>
      </c>
      <c r="E3" s="7" t="s">
        <v>59</v>
      </c>
      <c r="F3" s="7" t="s">
        <v>60</v>
      </c>
      <c r="G3" s="7" t="s">
        <v>61</v>
      </c>
      <c r="H3" s="7" t="s">
        <v>62</v>
      </c>
      <c r="I3" s="9" t="s">
        <v>51</v>
      </c>
      <c r="J3" s="9" t="s">
        <v>63</v>
      </c>
      <c r="K3" s="9" t="s">
        <v>64</v>
      </c>
      <c r="L3" s="9"/>
      <c r="M3" s="9" t="s">
        <v>53</v>
      </c>
      <c r="N3" s="9" t="s">
        <v>63</v>
      </c>
      <c r="O3" s="9" t="s">
        <v>64</v>
      </c>
      <c r="P3" s="9"/>
      <c r="Q3" s="7">
        <f>IF(OR(J3="",N3=""),"",IF(J3=N3,"sí","no"))</f>
      </c>
      <c r="R3" s="7">
        <f>IF(OR(K3="",O3=""),"",IF(K3=O3,"sí","no"))</f>
      </c>
      <c r="S3" s="9"/>
      <c r="T3" s="9"/>
      <c r="U3" s="9"/>
    </row>
    <row r="4" ht="30" customHeight="1" spans="1:21" x14ac:dyDescent="0.25">
      <c r="A4" s="7" t="s">
        <v>65</v>
      </c>
      <c r="B4" s="7" t="s">
        <v>66</v>
      </c>
      <c r="C4" s="7" t="s">
        <v>67</v>
      </c>
      <c r="D4" s="8" t="s">
        <v>46</v>
      </c>
      <c r="E4" s="7" t="s">
        <v>68</v>
      </c>
      <c r="F4" s="7" t="s">
        <v>69</v>
      </c>
      <c r="G4" s="7"/>
      <c r="H4" s="7"/>
      <c r="I4" s="9" t="s">
        <v>51</v>
      </c>
      <c r="J4" s="9" t="s">
        <v>54</v>
      </c>
      <c r="K4" s="9" t="s">
        <v>26</v>
      </c>
      <c r="L4" s="9"/>
      <c r="M4" s="9" t="s">
        <v>53</v>
      </c>
      <c r="N4" s="9" t="s">
        <v>54</v>
      </c>
      <c r="O4" s="9" t="s">
        <v>26</v>
      </c>
      <c r="P4" s="9"/>
      <c r="Q4" s="7">
        <f>IF(OR(J4="",N4=""),"",IF(J4=N4,"sí","no"))</f>
      </c>
      <c r="R4" s="7">
        <f>IF(OR(K4="",O4=""),"",IF(K4=O4,"sí","no"))</f>
      </c>
      <c r="S4" s="9"/>
      <c r="T4" s="9"/>
      <c r="U4" s="9"/>
    </row>
    <row r="5" ht="45" customHeight="1" spans="1:21" x14ac:dyDescent="0.25">
      <c r="A5" s="7" t="s">
        <v>70</v>
      </c>
      <c r="B5" s="7" t="s">
        <v>71</v>
      </c>
      <c r="C5" s="7" t="s">
        <v>72</v>
      </c>
      <c r="D5" s="7" t="s">
        <v>58</v>
      </c>
      <c r="E5" s="7" t="s">
        <v>73</v>
      </c>
      <c r="F5" s="7" t="s">
        <v>74</v>
      </c>
      <c r="G5" s="7" t="s">
        <v>75</v>
      </c>
      <c r="H5" s="7" t="s">
        <v>76</v>
      </c>
      <c r="I5" s="9" t="s">
        <v>51</v>
      </c>
      <c r="J5" s="9" t="s">
        <v>63</v>
      </c>
      <c r="K5" s="9" t="s">
        <v>64</v>
      </c>
      <c r="L5" s="9"/>
      <c r="M5" s="9" t="s">
        <v>53</v>
      </c>
      <c r="N5" s="9" t="s">
        <v>63</v>
      </c>
      <c r="O5" s="9" t="s">
        <v>64</v>
      </c>
      <c r="P5" s="9"/>
      <c r="Q5" s="7">
        <f>IF(OR(J5="",N5=""),"",IF(J5=N5,"sí","no"))</f>
      </c>
      <c r="R5" s="7">
        <f>IF(OR(K5="",O5=""),"",IF(K5=O5,"sí","no"))</f>
      </c>
      <c r="S5" s="9"/>
      <c r="T5" s="9"/>
      <c r="U5" s="9"/>
    </row>
    <row r="6" ht="30" customHeight="1" spans="1:21" x14ac:dyDescent="0.25">
      <c r="A6" s="7" t="s">
        <v>77</v>
      </c>
      <c r="B6" s="7" t="s">
        <v>78</v>
      </c>
      <c r="C6" s="7" t="s">
        <v>79</v>
      </c>
      <c r="D6" s="8" t="s">
        <v>46</v>
      </c>
      <c r="E6" s="7" t="s">
        <v>80</v>
      </c>
      <c r="F6" s="7" t="s">
        <v>81</v>
      </c>
      <c r="G6" s="7" t="s">
        <v>82</v>
      </c>
      <c r="H6" s="7" t="s">
        <v>83</v>
      </c>
      <c r="I6" s="9" t="s">
        <v>51</v>
      </c>
      <c r="J6" s="9" t="s">
        <v>25</v>
      </c>
      <c r="K6" s="9" t="s">
        <v>64</v>
      </c>
      <c r="L6" s="9" t="s">
        <v>84</v>
      </c>
      <c r="M6" s="9" t="s">
        <v>53</v>
      </c>
      <c r="N6" s="9" t="s">
        <v>25</v>
      </c>
      <c r="O6" s="9" t="s">
        <v>64</v>
      </c>
      <c r="P6" s="9" t="s">
        <v>85</v>
      </c>
      <c r="Q6" s="7">
        <f>IF(OR(J6="",N6=""),"",IF(J6=N6,"sí","no"))</f>
      </c>
      <c r="R6" s="7">
        <f>IF(OR(K6="",O6=""),"",IF(K6=O6,"sí","no"))</f>
      </c>
      <c r="S6" s="9"/>
      <c r="T6" s="9"/>
      <c r="U6" s="9"/>
    </row>
    <row r="7" ht="45" customHeight="1" spans="1:21" x14ac:dyDescent="0.25">
      <c r="A7" s="7" t="s">
        <v>86</v>
      </c>
      <c r="B7" s="7" t="s">
        <v>87</v>
      </c>
      <c r="C7" s="7" t="s">
        <v>88</v>
      </c>
      <c r="D7" s="8" t="s">
        <v>46</v>
      </c>
      <c r="E7" s="7" t="s">
        <v>89</v>
      </c>
      <c r="F7" s="7" t="s">
        <v>48</v>
      </c>
      <c r="G7" s="7" t="s">
        <v>90</v>
      </c>
      <c r="H7" s="7" t="s">
        <v>91</v>
      </c>
      <c r="I7" s="9" t="s">
        <v>51</v>
      </c>
      <c r="J7" s="9" t="s">
        <v>52</v>
      </c>
      <c r="K7" s="9" t="s">
        <v>26</v>
      </c>
      <c r="L7" s="9"/>
      <c r="M7" s="9" t="s">
        <v>53</v>
      </c>
      <c r="N7" s="9" t="s">
        <v>52</v>
      </c>
      <c r="O7" s="9" t="s">
        <v>26</v>
      </c>
      <c r="P7" s="9"/>
      <c r="Q7" s="7">
        <f>IF(OR(J7="",N7=""),"",IF(J7=N7,"sí","no"))</f>
      </c>
      <c r="R7" s="7">
        <f>IF(OR(K7="",O7=""),"",IF(K7=O7,"sí","no"))</f>
      </c>
      <c r="S7" s="9"/>
      <c r="T7" s="9"/>
      <c r="U7" s="9"/>
    </row>
    <row r="8" ht="60" customHeight="1" spans="1:21" x14ac:dyDescent="0.25">
      <c r="A8" s="7" t="s">
        <v>92</v>
      </c>
      <c r="B8" s="7" t="s">
        <v>93</v>
      </c>
      <c r="C8" s="7" t="s">
        <v>94</v>
      </c>
      <c r="D8" s="7" t="s">
        <v>58</v>
      </c>
      <c r="E8" s="7" t="s">
        <v>95</v>
      </c>
      <c r="F8" s="7" t="s">
        <v>96</v>
      </c>
      <c r="G8" s="7" t="s">
        <v>97</v>
      </c>
      <c r="H8" s="7" t="s">
        <v>98</v>
      </c>
      <c r="I8" s="9" t="s">
        <v>51</v>
      </c>
      <c r="J8" s="9" t="s">
        <v>63</v>
      </c>
      <c r="K8" s="9" t="s">
        <v>64</v>
      </c>
      <c r="L8" s="9"/>
      <c r="M8" s="9" t="s">
        <v>53</v>
      </c>
      <c r="N8" s="9" t="s">
        <v>63</v>
      </c>
      <c r="O8" s="9" t="s">
        <v>64</v>
      </c>
      <c r="P8" s="9"/>
      <c r="Q8" s="7">
        <f>IF(OR(J8="",N8=""),"",IF(J8=N8,"sí","no"))</f>
      </c>
      <c r="R8" s="7">
        <f>IF(OR(K8="",O8=""),"",IF(K8=O8,"sí","no"))</f>
      </c>
      <c r="S8" s="9"/>
      <c r="T8" s="9"/>
      <c r="U8" s="9"/>
    </row>
    <row r="9" ht="45" customHeight="1" spans="1:21" x14ac:dyDescent="0.25">
      <c r="A9" s="7" t="s">
        <v>99</v>
      </c>
      <c r="B9" s="7" t="s">
        <v>100</v>
      </c>
      <c r="C9" s="7" t="s">
        <v>101</v>
      </c>
      <c r="D9" s="8" t="s">
        <v>46</v>
      </c>
      <c r="E9" s="7" t="s">
        <v>102</v>
      </c>
      <c r="F9" s="7" t="s">
        <v>103</v>
      </c>
      <c r="G9" s="7" t="s">
        <v>104</v>
      </c>
      <c r="H9" s="7" t="s">
        <v>105</v>
      </c>
      <c r="I9" s="9" t="s">
        <v>51</v>
      </c>
      <c r="J9" s="9" t="s">
        <v>52</v>
      </c>
      <c r="K9" s="9" t="s">
        <v>26</v>
      </c>
      <c r="L9" s="9"/>
      <c r="M9" s="9" t="s">
        <v>53</v>
      </c>
      <c r="N9" s="9" t="s">
        <v>52</v>
      </c>
      <c r="O9" s="9" t="s">
        <v>26</v>
      </c>
      <c r="P9" s="9"/>
      <c r="Q9" s="7">
        <f>IF(OR(J9="",N9=""),"",IF(J9=N9,"sí","no"))</f>
      </c>
      <c r="R9" s="7">
        <f>IF(OR(K9="",O9=""),"",IF(K9=O9,"sí","no"))</f>
      </c>
      <c r="S9" s="9"/>
      <c r="T9" s="9"/>
      <c r="U9" s="9"/>
    </row>
    <row r="10" ht="45" customHeight="1" spans="1:21" x14ac:dyDescent="0.25">
      <c r="A10" s="7" t="s">
        <v>106</v>
      </c>
      <c r="B10" s="7" t="s">
        <v>107</v>
      </c>
      <c r="C10" s="7" t="s">
        <v>108</v>
      </c>
      <c r="D10" s="8" t="s">
        <v>46</v>
      </c>
      <c r="E10" s="7" t="s">
        <v>109</v>
      </c>
      <c r="F10" s="7" t="s">
        <v>110</v>
      </c>
      <c r="G10" s="7" t="s">
        <v>111</v>
      </c>
      <c r="H10" s="7" t="s">
        <v>112</v>
      </c>
      <c r="I10" s="9" t="s">
        <v>51</v>
      </c>
      <c r="J10" s="9" t="s">
        <v>25</v>
      </c>
      <c r="K10" s="9" t="s">
        <v>26</v>
      </c>
      <c r="L10" s="9" t="s">
        <v>113</v>
      </c>
      <c r="M10" s="9" t="s">
        <v>53</v>
      </c>
      <c r="N10" s="9" t="s">
        <v>25</v>
      </c>
      <c r="O10" s="9" t="s">
        <v>26</v>
      </c>
      <c r="P10" s="9" t="s">
        <v>114</v>
      </c>
      <c r="Q10" s="7">
        <f>IF(OR(J10="",N10=""),"",IF(J10=N10,"sí","no"))</f>
      </c>
      <c r="R10" s="7">
        <f>IF(OR(K10="",O10=""),"",IF(K10=O10,"sí","no"))</f>
      </c>
      <c r="S10" s="9"/>
      <c r="T10" s="9"/>
      <c r="U10" s="9"/>
    </row>
    <row r="11" ht="45" customHeight="1" spans="1:21" x14ac:dyDescent="0.25">
      <c r="A11" s="7" t="s">
        <v>115</v>
      </c>
      <c r="B11" s="7" t="s">
        <v>116</v>
      </c>
      <c r="C11" s="7" t="s">
        <v>117</v>
      </c>
      <c r="D11" s="8" t="s">
        <v>46</v>
      </c>
      <c r="E11" s="7" t="s">
        <v>118</v>
      </c>
      <c r="F11" s="7" t="s">
        <v>119</v>
      </c>
      <c r="G11" s="7" t="s">
        <v>120</v>
      </c>
      <c r="H11" s="7" t="s">
        <v>121</v>
      </c>
      <c r="I11" s="9" t="s">
        <v>51</v>
      </c>
      <c r="J11" s="9" t="s">
        <v>52</v>
      </c>
      <c r="K11" s="9" t="s">
        <v>26</v>
      </c>
      <c r="L11" s="9"/>
      <c r="M11" s="9" t="s">
        <v>53</v>
      </c>
      <c r="N11" s="9" t="s">
        <v>52</v>
      </c>
      <c r="O11" s="9" t="s">
        <v>26</v>
      </c>
      <c r="P11" s="9"/>
      <c r="Q11" s="7">
        <f>IF(OR(J11="",N11=""),"",IF(J11=N11,"sí","no"))</f>
      </c>
      <c r="R11" s="7">
        <f>IF(OR(K11="",O11=""),"",IF(K11=O11,"sí","no"))</f>
      </c>
      <c r="S11" s="9"/>
      <c r="T11" s="9"/>
      <c r="U11" s="9"/>
    </row>
    <row r="12" ht="45" customHeight="1" spans="1:21" x14ac:dyDescent="0.25">
      <c r="A12" s="7" t="s">
        <v>122</v>
      </c>
      <c r="B12" s="7" t="s">
        <v>123</v>
      </c>
      <c r="C12" s="7" t="s">
        <v>124</v>
      </c>
      <c r="D12" s="8" t="s">
        <v>46</v>
      </c>
      <c r="E12" s="7" t="s">
        <v>125</v>
      </c>
      <c r="F12" s="7" t="s">
        <v>126</v>
      </c>
      <c r="G12" s="7" t="s">
        <v>127</v>
      </c>
      <c r="H12" s="7" t="s">
        <v>128</v>
      </c>
      <c r="I12" s="9" t="s">
        <v>51</v>
      </c>
      <c r="J12" s="9" t="s">
        <v>25</v>
      </c>
      <c r="K12" s="9" t="s">
        <v>26</v>
      </c>
      <c r="L12" s="9" t="s">
        <v>129</v>
      </c>
      <c r="M12" s="9" t="s">
        <v>53</v>
      </c>
      <c r="N12" s="9" t="s">
        <v>25</v>
      </c>
      <c r="O12" s="9" t="s">
        <v>26</v>
      </c>
      <c r="P12" s="9" t="s">
        <v>130</v>
      </c>
      <c r="Q12" s="7">
        <f>IF(OR(J12="",N12=""),"",IF(J12=N12,"sí","no"))</f>
      </c>
      <c r="R12" s="7">
        <f>IF(OR(K12="",O12=""),"",IF(K12=O12,"sí","no"))</f>
      </c>
      <c r="S12" s="9"/>
      <c r="T12" s="9"/>
      <c r="U12" s="9"/>
    </row>
    <row r="13" ht="30" customHeight="1" spans="1:21" x14ac:dyDescent="0.25">
      <c r="A13" s="7" t="s">
        <v>131</v>
      </c>
      <c r="B13" s="7" t="s">
        <v>132</v>
      </c>
      <c r="C13" s="7" t="s">
        <v>133</v>
      </c>
      <c r="D13" s="8" t="s">
        <v>46</v>
      </c>
      <c r="E13" s="7" t="s">
        <v>134</v>
      </c>
      <c r="F13" s="7" t="s">
        <v>69</v>
      </c>
      <c r="G13" s="7" t="s">
        <v>135</v>
      </c>
      <c r="H13" s="7" t="s">
        <v>136</v>
      </c>
      <c r="I13" s="9" t="s">
        <v>51</v>
      </c>
      <c r="J13" s="9" t="s">
        <v>25</v>
      </c>
      <c r="K13" s="9" t="s">
        <v>64</v>
      </c>
      <c r="L13" s="9" t="s">
        <v>137</v>
      </c>
      <c r="M13" s="9" t="s">
        <v>53</v>
      </c>
      <c r="N13" s="9" t="s">
        <v>52</v>
      </c>
      <c r="O13" s="9" t="s">
        <v>64</v>
      </c>
      <c r="P13" s="9"/>
      <c r="Q13" s="7">
        <f>IF(OR(J13="",N13=""),"",IF(J13=N13,"sí","no"))</f>
      </c>
      <c r="R13" s="7">
        <f>IF(OR(K13="",O13=""),"",IF(K13=O13,"sí","no"))</f>
      </c>
      <c r="S13" s="9"/>
      <c r="T13" s="9"/>
      <c r="U13" s="9"/>
    </row>
    <row r="14" ht="60" customHeight="1" spans="1:21" x14ac:dyDescent="0.25">
      <c r="A14" s="7" t="s">
        <v>138</v>
      </c>
      <c r="B14" s="7" t="s">
        <v>139</v>
      </c>
      <c r="C14" s="7" t="s">
        <v>140</v>
      </c>
      <c r="D14" s="8" t="s">
        <v>46</v>
      </c>
      <c r="E14" s="7" t="s">
        <v>141</v>
      </c>
      <c r="F14" s="7" t="s">
        <v>48</v>
      </c>
      <c r="G14" s="7" t="s">
        <v>142</v>
      </c>
      <c r="H14" s="7" t="s">
        <v>143</v>
      </c>
      <c r="I14" s="9" t="s">
        <v>51</v>
      </c>
      <c r="J14" s="9" t="s">
        <v>25</v>
      </c>
      <c r="K14" s="9" t="s">
        <v>26</v>
      </c>
      <c r="L14" s="9" t="s">
        <v>144</v>
      </c>
      <c r="M14" s="9" t="s">
        <v>53</v>
      </c>
      <c r="N14" s="9" t="s">
        <v>25</v>
      </c>
      <c r="O14" s="9" t="s">
        <v>26</v>
      </c>
      <c r="P14" s="9" t="s">
        <v>145</v>
      </c>
      <c r="Q14" s="7">
        <f>IF(OR(J14="",N14=""),"",IF(J14=N14,"sí","no"))</f>
      </c>
      <c r="R14" s="7">
        <f>IF(OR(K14="",O14=""),"",IF(K14=O14,"sí","no"))</f>
      </c>
      <c r="S14" s="9"/>
      <c r="T14" s="9"/>
      <c r="U14" s="9"/>
    </row>
    <row r="15" ht="30" customHeight="1" spans="1:21" x14ac:dyDescent="0.25">
      <c r="A15" s="7" t="s">
        <v>146</v>
      </c>
      <c r="B15" s="7" t="s">
        <v>147</v>
      </c>
      <c r="C15" s="7" t="s">
        <v>148</v>
      </c>
      <c r="D15" s="8" t="s">
        <v>46</v>
      </c>
      <c r="E15" s="7" t="s">
        <v>149</v>
      </c>
      <c r="F15" s="7" t="s">
        <v>69</v>
      </c>
      <c r="G15" s="7" t="s">
        <v>150</v>
      </c>
      <c r="H15" s="7" t="s">
        <v>81</v>
      </c>
      <c r="I15" s="9" t="s">
        <v>51</v>
      </c>
      <c r="J15" s="9" t="s">
        <v>52</v>
      </c>
      <c r="K15" s="9" t="s">
        <v>64</v>
      </c>
      <c r="L15" s="9"/>
      <c r="M15" s="9" t="s">
        <v>53</v>
      </c>
      <c r="N15" s="9" t="s">
        <v>52</v>
      </c>
      <c r="O15" s="9" t="s">
        <v>64</v>
      </c>
      <c r="P15" s="9"/>
      <c r="Q15" s="7">
        <f>IF(OR(J15="",N15=""),"",IF(J15=N15,"sí","no"))</f>
      </c>
      <c r="R15" s="7">
        <f>IF(OR(K15="",O15=""),"",IF(K15=O15,"sí","no"))</f>
      </c>
      <c r="S15" s="9"/>
      <c r="T15" s="9"/>
      <c r="U15" s="9" t="s">
        <v>151</v>
      </c>
    </row>
    <row r="16" ht="30" customHeight="1" spans="1:21" x14ac:dyDescent="0.25">
      <c r="A16" s="7" t="s">
        <v>152</v>
      </c>
      <c r="B16" s="7" t="s">
        <v>153</v>
      </c>
      <c r="C16" s="7" t="s">
        <v>154</v>
      </c>
      <c r="D16" s="8" t="s">
        <v>46</v>
      </c>
      <c r="E16" s="7" t="s">
        <v>155</v>
      </c>
      <c r="F16" s="7" t="s">
        <v>156</v>
      </c>
      <c r="G16" s="7" t="s">
        <v>157</v>
      </c>
      <c r="H16" s="7" t="s">
        <v>158</v>
      </c>
      <c r="I16" s="9" t="s">
        <v>51</v>
      </c>
      <c r="J16" s="9" t="s">
        <v>25</v>
      </c>
      <c r="K16" s="9" t="s">
        <v>64</v>
      </c>
      <c r="L16" s="9" t="s">
        <v>159</v>
      </c>
      <c r="M16" s="9" t="s">
        <v>53</v>
      </c>
      <c r="N16" s="9" t="s">
        <v>25</v>
      </c>
      <c r="O16" s="9" t="s">
        <v>64</v>
      </c>
      <c r="P16" s="9" t="s">
        <v>160</v>
      </c>
      <c r="Q16" s="7">
        <f>IF(OR(J16="",N16=""),"",IF(J16=N16,"sí","no"))</f>
      </c>
      <c r="R16" s="7">
        <f>IF(OR(K16="",O16=""),"",IF(K16=O16,"sí","no"))</f>
      </c>
      <c r="S16" s="9"/>
      <c r="T16" s="9"/>
      <c r="U16" s="9"/>
    </row>
    <row r="17" ht="45" customHeight="1" spans="1:21" x14ac:dyDescent="0.25">
      <c r="A17" s="7" t="s">
        <v>161</v>
      </c>
      <c r="B17" s="7" t="s">
        <v>162</v>
      </c>
      <c r="C17" s="7" t="s">
        <v>163</v>
      </c>
      <c r="D17" s="7" t="s">
        <v>58</v>
      </c>
      <c r="E17" s="7" t="s">
        <v>164</v>
      </c>
      <c r="F17" s="7" t="s">
        <v>165</v>
      </c>
      <c r="G17" s="7" t="s">
        <v>166</v>
      </c>
      <c r="H17" s="7" t="s">
        <v>167</v>
      </c>
      <c r="I17" s="9" t="s">
        <v>51</v>
      </c>
      <c r="J17" s="9" t="s">
        <v>54</v>
      </c>
      <c r="K17" s="9" t="s">
        <v>26</v>
      </c>
      <c r="L17" s="9"/>
      <c r="M17" s="9" t="s">
        <v>53</v>
      </c>
      <c r="N17" s="9" t="s">
        <v>54</v>
      </c>
      <c r="O17" s="9" t="s">
        <v>26</v>
      </c>
      <c r="P17" s="9"/>
      <c r="Q17" s="7">
        <f>IF(OR(J17="",N17=""),"",IF(J17=N17,"sí","no"))</f>
      </c>
      <c r="R17" s="7">
        <f>IF(OR(K17="",O17=""),"",IF(K17=O17,"sí","no"))</f>
      </c>
      <c r="S17" s="9"/>
      <c r="T17" s="9"/>
      <c r="U17" s="9"/>
    </row>
    <row r="18" ht="30" customHeight="1" spans="1:21" x14ac:dyDescent="0.25">
      <c r="A18" s="7" t="s">
        <v>168</v>
      </c>
      <c r="B18" s="7" t="s">
        <v>169</v>
      </c>
      <c r="C18" s="7" t="s">
        <v>170</v>
      </c>
      <c r="D18" s="8" t="s">
        <v>46</v>
      </c>
      <c r="E18" s="7" t="s">
        <v>171</v>
      </c>
      <c r="F18" s="7" t="s">
        <v>165</v>
      </c>
      <c r="G18" s="7" t="s">
        <v>172</v>
      </c>
      <c r="H18" s="7" t="s">
        <v>81</v>
      </c>
      <c r="I18" s="9" t="s">
        <v>51</v>
      </c>
      <c r="J18" s="9" t="s">
        <v>54</v>
      </c>
      <c r="K18" s="9" t="s">
        <v>26</v>
      </c>
      <c r="L18" s="9"/>
      <c r="M18" s="9" t="s">
        <v>53</v>
      </c>
      <c r="N18" s="9" t="s">
        <v>54</v>
      </c>
      <c r="O18" s="9" t="s">
        <v>26</v>
      </c>
      <c r="P18" s="9"/>
      <c r="Q18" s="7">
        <f>IF(OR(J18="",N18=""),"",IF(J18=N18,"sí","no"))</f>
      </c>
      <c r="R18" s="7">
        <f>IF(OR(K18="",O18=""),"",IF(K18=O18,"sí","no"))</f>
      </c>
      <c r="S18" s="9"/>
      <c r="T18" s="9"/>
      <c r="U18" s="9"/>
    </row>
    <row r="19" ht="45" customHeight="1" spans="1:21" x14ac:dyDescent="0.25">
      <c r="A19" s="7" t="s">
        <v>173</v>
      </c>
      <c r="B19" s="7" t="s">
        <v>174</v>
      </c>
      <c r="C19" s="7" t="s">
        <v>175</v>
      </c>
      <c r="D19" s="7" t="s">
        <v>58</v>
      </c>
      <c r="E19" s="7" t="s">
        <v>176</v>
      </c>
      <c r="F19" s="7" t="s">
        <v>177</v>
      </c>
      <c r="G19" s="7"/>
      <c r="H19" s="7"/>
      <c r="I19" s="9" t="s">
        <v>51</v>
      </c>
      <c r="J19" s="9" t="s">
        <v>52</v>
      </c>
      <c r="K19" s="9" t="s">
        <v>26</v>
      </c>
      <c r="L19" s="9"/>
      <c r="M19" s="9" t="s">
        <v>53</v>
      </c>
      <c r="N19" s="9" t="s">
        <v>52</v>
      </c>
      <c r="O19" s="9" t="s">
        <v>26</v>
      </c>
      <c r="P19" s="9"/>
      <c r="Q19" s="7">
        <f>IF(OR(J19="",N19=""),"",IF(J19=N19,"sí","no"))</f>
      </c>
      <c r="R19" s="7">
        <f>IF(OR(K19="",O19=""),"",IF(K19=O19,"sí","no"))</f>
      </c>
      <c r="S19" s="9"/>
      <c r="T19" s="9"/>
      <c r="U19" s="9"/>
    </row>
    <row r="20" ht="45" customHeight="1" spans="1:21" x14ac:dyDescent="0.25">
      <c r="A20" s="7" t="s">
        <v>178</v>
      </c>
      <c r="B20" s="7" t="s">
        <v>179</v>
      </c>
      <c r="C20" s="7" t="s">
        <v>180</v>
      </c>
      <c r="D20" s="7" t="s">
        <v>58</v>
      </c>
      <c r="E20" s="7" t="s">
        <v>181</v>
      </c>
      <c r="F20" s="7" t="s">
        <v>182</v>
      </c>
      <c r="G20" s="7" t="s">
        <v>183</v>
      </c>
      <c r="H20" s="7" t="s">
        <v>103</v>
      </c>
      <c r="I20" s="9" t="s">
        <v>51</v>
      </c>
      <c r="J20" s="9" t="s">
        <v>63</v>
      </c>
      <c r="K20" s="9" t="s">
        <v>26</v>
      </c>
      <c r="L20" s="9"/>
      <c r="M20" s="9" t="s">
        <v>53</v>
      </c>
      <c r="N20" s="9" t="s">
        <v>63</v>
      </c>
      <c r="O20" s="9" t="s">
        <v>26</v>
      </c>
      <c r="P20" s="9"/>
      <c r="Q20" s="7">
        <f>IF(OR(J20="",N20=""),"",IF(J20=N20,"sí","no"))</f>
      </c>
      <c r="R20" s="7">
        <f>IF(OR(K20="",O20=""),"",IF(K20=O20,"sí","no"))</f>
      </c>
      <c r="S20" s="9"/>
      <c r="T20" s="9"/>
      <c r="U20" s="9"/>
    </row>
    <row r="21" ht="30" customHeight="1" spans="1:21" x14ac:dyDescent="0.25">
      <c r="A21" s="7" t="s">
        <v>184</v>
      </c>
      <c r="B21" s="7" t="s">
        <v>185</v>
      </c>
      <c r="C21" s="7" t="s">
        <v>186</v>
      </c>
      <c r="D21" s="7" t="s">
        <v>58</v>
      </c>
      <c r="E21" s="7" t="s">
        <v>187</v>
      </c>
      <c r="F21" s="7" t="s">
        <v>83</v>
      </c>
      <c r="G21" s="7" t="s">
        <v>188</v>
      </c>
      <c r="H21" s="7" t="s">
        <v>189</v>
      </c>
      <c r="I21" s="9" t="s">
        <v>51</v>
      </c>
      <c r="J21" s="9" t="s">
        <v>25</v>
      </c>
      <c r="K21" s="9" t="s">
        <v>26</v>
      </c>
      <c r="L21" s="9" t="s">
        <v>190</v>
      </c>
      <c r="M21" s="9" t="s">
        <v>53</v>
      </c>
      <c r="N21" s="9" t="s">
        <v>25</v>
      </c>
      <c r="O21" s="9" t="s">
        <v>26</v>
      </c>
      <c r="P21" s="9" t="s">
        <v>191</v>
      </c>
      <c r="Q21" s="7">
        <f>IF(OR(J21="",N21=""),"",IF(J21=N21,"sí","no"))</f>
      </c>
      <c r="R21" s="7">
        <f>IF(OR(K21="",O21=""),"",IF(K21=O21,"sí","no"))</f>
      </c>
      <c r="S21" s="9"/>
      <c r="T21" s="9"/>
      <c r="U21" s="9"/>
    </row>
    <row r="22" ht="45" customHeight="1" spans="1:21" x14ac:dyDescent="0.25">
      <c r="A22" s="7" t="s">
        <v>192</v>
      </c>
      <c r="B22" s="7" t="s">
        <v>193</v>
      </c>
      <c r="C22" s="7" t="s">
        <v>194</v>
      </c>
      <c r="D22" s="8" t="s">
        <v>46</v>
      </c>
      <c r="E22" s="7" t="s">
        <v>195</v>
      </c>
      <c r="F22" s="7" t="s">
        <v>196</v>
      </c>
      <c r="G22" s="7" t="s">
        <v>197</v>
      </c>
      <c r="H22" s="7" t="s">
        <v>198</v>
      </c>
      <c r="I22" s="9" t="s">
        <v>51</v>
      </c>
      <c r="J22" s="9" t="s">
        <v>25</v>
      </c>
      <c r="K22" s="9" t="s">
        <v>26</v>
      </c>
      <c r="L22" s="9" t="s">
        <v>199</v>
      </c>
      <c r="M22" s="9" t="s">
        <v>53</v>
      </c>
      <c r="N22" s="9" t="s">
        <v>52</v>
      </c>
      <c r="O22" s="9" t="s">
        <v>26</v>
      </c>
      <c r="P22" s="9"/>
      <c r="Q22" s="7">
        <f>IF(OR(J22="",N22=""),"",IF(J22=N22,"sí","no"))</f>
      </c>
      <c r="R22" s="7">
        <f>IF(OR(K22="",O22=""),"",IF(K22=O22,"sí","no"))</f>
      </c>
      <c r="S22" s="9"/>
      <c r="T22" s="9"/>
      <c r="U22" s="9"/>
    </row>
    <row r="23" ht="60" customHeight="1" spans="1:21" x14ac:dyDescent="0.25">
      <c r="A23" s="7" t="s">
        <v>200</v>
      </c>
      <c r="B23" s="7" t="s">
        <v>201</v>
      </c>
      <c r="C23" s="7" t="s">
        <v>202</v>
      </c>
      <c r="D23" s="8" t="s">
        <v>46</v>
      </c>
      <c r="E23" s="7" t="s">
        <v>203</v>
      </c>
      <c r="F23" s="7" t="s">
        <v>204</v>
      </c>
      <c r="G23" s="7" t="s">
        <v>205</v>
      </c>
      <c r="H23" s="7" t="s">
        <v>206</v>
      </c>
      <c r="I23" s="9" t="s">
        <v>51</v>
      </c>
      <c r="J23" s="9" t="s">
        <v>25</v>
      </c>
      <c r="K23" s="9" t="s">
        <v>26</v>
      </c>
      <c r="L23" s="9" t="s">
        <v>207</v>
      </c>
      <c r="M23" s="9" t="s">
        <v>53</v>
      </c>
      <c r="N23" s="9" t="s">
        <v>25</v>
      </c>
      <c r="O23" s="9" t="s">
        <v>26</v>
      </c>
      <c r="P23" s="9" t="s">
        <v>208</v>
      </c>
      <c r="Q23" s="7">
        <f>IF(OR(J23="",N23=""),"",IF(J23=N23,"sí","no"))</f>
      </c>
      <c r="R23" s="7">
        <f>IF(OR(K23="",O23=""),"",IF(K23=O23,"sí","no"))</f>
      </c>
      <c r="S23" s="9"/>
      <c r="T23" s="9"/>
      <c r="U23" s="9"/>
    </row>
    <row r="24" ht="75" customHeight="1" spans="1:21" x14ac:dyDescent="0.25">
      <c r="A24" s="7" t="s">
        <v>209</v>
      </c>
      <c r="B24" s="7" t="s">
        <v>210</v>
      </c>
      <c r="C24" s="7" t="s">
        <v>211</v>
      </c>
      <c r="D24" s="8" t="s">
        <v>46</v>
      </c>
      <c r="E24" s="7" t="s">
        <v>212</v>
      </c>
      <c r="F24" s="7" t="s">
        <v>213</v>
      </c>
      <c r="G24" s="7" t="s">
        <v>214</v>
      </c>
      <c r="H24" s="7" t="s">
        <v>215</v>
      </c>
      <c r="I24" s="9" t="s">
        <v>51</v>
      </c>
      <c r="J24" s="9" t="s">
        <v>25</v>
      </c>
      <c r="K24" s="9" t="s">
        <v>26</v>
      </c>
      <c r="L24" s="9" t="s">
        <v>216</v>
      </c>
      <c r="M24" s="9" t="s">
        <v>53</v>
      </c>
      <c r="N24" s="9" t="s">
        <v>25</v>
      </c>
      <c r="O24" s="9" t="s">
        <v>26</v>
      </c>
      <c r="P24" s="9" t="s">
        <v>217</v>
      </c>
      <c r="Q24" s="7">
        <f>IF(OR(J24="",N24=""),"",IF(J24=N24,"sí","no"))</f>
      </c>
      <c r="R24" s="7">
        <f>IF(OR(K24="",O24=""),"",IF(K24=O24,"sí","no"))</f>
      </c>
      <c r="S24" s="9"/>
      <c r="T24" s="9"/>
      <c r="U24" s="9"/>
    </row>
    <row r="25" ht="60" customHeight="1" spans="1:21" x14ac:dyDescent="0.25">
      <c r="A25" s="7" t="s">
        <v>218</v>
      </c>
      <c r="B25" s="7" t="s">
        <v>219</v>
      </c>
      <c r="C25" s="7" t="s">
        <v>220</v>
      </c>
      <c r="D25" s="8" t="s">
        <v>46</v>
      </c>
      <c r="E25" s="7" t="s">
        <v>221</v>
      </c>
      <c r="F25" s="7" t="s">
        <v>83</v>
      </c>
      <c r="G25" s="7" t="s">
        <v>222</v>
      </c>
      <c r="H25" s="7" t="s">
        <v>223</v>
      </c>
      <c r="I25" s="9" t="s">
        <v>51</v>
      </c>
      <c r="J25" s="9" t="s">
        <v>54</v>
      </c>
      <c r="K25" s="9" t="s">
        <v>64</v>
      </c>
      <c r="L25" s="9"/>
      <c r="M25" s="9" t="s">
        <v>53</v>
      </c>
      <c r="N25" s="9" t="s">
        <v>54</v>
      </c>
      <c r="O25" s="9" t="s">
        <v>64</v>
      </c>
      <c r="P25" s="9"/>
      <c r="Q25" s="7">
        <f>IF(OR(J25="",N25=""),"",IF(J25=N25,"sí","no"))</f>
      </c>
      <c r="R25" s="7">
        <f>IF(OR(K25="",O25=""),"",IF(K25=O25,"sí","no"))</f>
      </c>
      <c r="S25" s="9"/>
      <c r="T25" s="9"/>
      <c r="U25" s="9"/>
    </row>
    <row r="26" ht="30" customHeight="1" spans="1:21" x14ac:dyDescent="0.25">
      <c r="A26" s="7" t="s">
        <v>224</v>
      </c>
      <c r="B26" s="7" t="s">
        <v>225</v>
      </c>
      <c r="C26" s="7" t="s">
        <v>226</v>
      </c>
      <c r="D26" s="8" t="s">
        <v>46</v>
      </c>
      <c r="E26" s="7" t="s">
        <v>227</v>
      </c>
      <c r="F26" s="7" t="s">
        <v>83</v>
      </c>
      <c r="G26" s="7" t="s">
        <v>228</v>
      </c>
      <c r="H26" s="7" t="s">
        <v>229</v>
      </c>
      <c r="I26" s="9" t="s">
        <v>51</v>
      </c>
      <c r="J26" s="9" t="s">
        <v>54</v>
      </c>
      <c r="K26" s="9" t="s">
        <v>26</v>
      </c>
      <c r="L26" s="9"/>
      <c r="M26" s="9" t="s">
        <v>53</v>
      </c>
      <c r="N26" s="9" t="s">
        <v>54</v>
      </c>
      <c r="O26" s="9" t="s">
        <v>26</v>
      </c>
      <c r="P26" s="9"/>
      <c r="Q26" s="7">
        <f>IF(OR(J26="",N26=""),"",IF(J26=N26,"sí","no"))</f>
      </c>
      <c r="R26" s="7">
        <f>IF(OR(K26="",O26=""),"",IF(K26=O26,"sí","no"))</f>
      </c>
      <c r="S26" s="9"/>
      <c r="T26" s="9"/>
      <c r="U26" s="9"/>
    </row>
    <row r="27" ht="45" customHeight="1" spans="1:21" x14ac:dyDescent="0.25">
      <c r="A27" s="7" t="s">
        <v>230</v>
      </c>
      <c r="B27" s="7" t="s">
        <v>231</v>
      </c>
      <c r="C27" s="7" t="s">
        <v>232</v>
      </c>
      <c r="D27" s="7" t="s">
        <v>233</v>
      </c>
      <c r="E27" s="7" t="s">
        <v>234</v>
      </c>
      <c r="F27" s="7" t="s">
        <v>235</v>
      </c>
      <c r="G27" s="7"/>
      <c r="H27" s="7"/>
      <c r="I27" s="9" t="s">
        <v>51</v>
      </c>
      <c r="J27" s="9" t="s">
        <v>52</v>
      </c>
      <c r="K27" s="9" t="s">
        <v>26</v>
      </c>
      <c r="L27" s="9"/>
      <c r="M27" s="9" t="s">
        <v>53</v>
      </c>
      <c r="N27" s="9" t="s">
        <v>52</v>
      </c>
      <c r="O27" s="9" t="s">
        <v>26</v>
      </c>
      <c r="P27" s="9"/>
      <c r="Q27" s="7">
        <f>IF(OR(J27="",N27=""),"",IF(J27=N27,"sí","no"))</f>
      </c>
      <c r="R27" s="7">
        <f>IF(OR(K27="",O27=""),"",IF(K27=O27,"sí","no"))</f>
      </c>
      <c r="S27" s="9"/>
      <c r="T27" s="9"/>
      <c r="U27" s="9" t="s">
        <v>236</v>
      </c>
    </row>
    <row r="28" ht="45" customHeight="1" spans="1:21" x14ac:dyDescent="0.25">
      <c r="A28" s="7" t="s">
        <v>237</v>
      </c>
      <c r="B28" s="7" t="s">
        <v>238</v>
      </c>
      <c r="C28" s="7" t="s">
        <v>239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244</v>
      </c>
      <c r="I28" s="9" t="s">
        <v>51</v>
      </c>
      <c r="J28" s="9" t="s">
        <v>52</v>
      </c>
      <c r="K28" s="9" t="s">
        <v>26</v>
      </c>
      <c r="L28" s="9"/>
      <c r="M28" s="9" t="s">
        <v>53</v>
      </c>
      <c r="N28" s="9" t="s">
        <v>52</v>
      </c>
      <c r="O28" s="9" t="s">
        <v>26</v>
      </c>
      <c r="P28" s="9"/>
      <c r="Q28" s="7">
        <f>IF(OR(J28="",N28=""),"",IF(J28=N28,"sí","no"))</f>
      </c>
      <c r="R28" s="7">
        <f>IF(OR(K28="",O28=""),"",IF(K28=O28,"sí","no"))</f>
      </c>
      <c r="S28" s="9"/>
      <c r="T28" s="9"/>
      <c r="U28" s="9"/>
    </row>
    <row r="29" ht="45" customHeight="1" spans="1:21" x14ac:dyDescent="0.25">
      <c r="A29" s="7" t="s">
        <v>245</v>
      </c>
      <c r="B29" s="7" t="s">
        <v>246</v>
      </c>
      <c r="C29" s="7" t="s">
        <v>247</v>
      </c>
      <c r="D29" s="8" t="s">
        <v>46</v>
      </c>
      <c r="E29" s="7" t="s">
        <v>248</v>
      </c>
      <c r="F29" s="7" t="s">
        <v>103</v>
      </c>
      <c r="G29" s="7" t="s">
        <v>249</v>
      </c>
      <c r="H29" s="7" t="s">
        <v>250</v>
      </c>
      <c r="I29" s="9" t="s">
        <v>51</v>
      </c>
      <c r="J29" s="9" t="s">
        <v>54</v>
      </c>
      <c r="K29" s="9" t="s">
        <v>26</v>
      </c>
      <c r="L29" s="9"/>
      <c r="M29" s="9" t="s">
        <v>53</v>
      </c>
      <c r="N29" s="9" t="s">
        <v>54</v>
      </c>
      <c r="O29" s="9" t="s">
        <v>26</v>
      </c>
      <c r="P29" s="9"/>
      <c r="Q29" s="7">
        <f>IF(OR(J29="",N29=""),"",IF(J29=N29,"sí","no"))</f>
      </c>
      <c r="R29" s="7">
        <f>IF(OR(K29="",O29=""),"",IF(K29=O29,"sí","no"))</f>
      </c>
      <c r="S29" s="9"/>
      <c r="T29" s="9"/>
      <c r="U29" s="9"/>
    </row>
    <row r="30" ht="60" customHeight="1" spans="1:21" x14ac:dyDescent="0.25">
      <c r="A30" s="7" t="s">
        <v>251</v>
      </c>
      <c r="B30" s="7" t="s">
        <v>252</v>
      </c>
      <c r="C30" s="7" t="s">
        <v>253</v>
      </c>
      <c r="D30" s="7" t="s">
        <v>58</v>
      </c>
      <c r="E30" s="7" t="s">
        <v>254</v>
      </c>
      <c r="F30" s="7" t="s">
        <v>213</v>
      </c>
      <c r="G30" s="7" t="s">
        <v>255</v>
      </c>
      <c r="H30" s="7" t="s">
        <v>256</v>
      </c>
      <c r="I30" s="9" t="s">
        <v>51</v>
      </c>
      <c r="J30" s="9" t="s">
        <v>25</v>
      </c>
      <c r="K30" s="9" t="s">
        <v>26</v>
      </c>
      <c r="L30" s="9" t="s">
        <v>257</v>
      </c>
      <c r="M30" s="9" t="s">
        <v>53</v>
      </c>
      <c r="N30" s="9" t="s">
        <v>52</v>
      </c>
      <c r="O30" s="9" t="s">
        <v>26</v>
      </c>
      <c r="P30" s="9"/>
      <c r="Q30" s="7">
        <f>IF(OR(J30="",N30=""),"",IF(J30=N30,"sí","no"))</f>
      </c>
      <c r="R30" s="7">
        <f>IF(OR(K30="",O30=""),"",IF(K30=O30,"sí","no"))</f>
      </c>
      <c r="S30" s="9"/>
      <c r="T30" s="9"/>
      <c r="U30" s="9"/>
    </row>
    <row r="31" ht="45" customHeight="1" spans="1:21" x14ac:dyDescent="0.25">
      <c r="A31" s="7" t="s">
        <v>258</v>
      </c>
      <c r="B31" s="7" t="s">
        <v>259</v>
      </c>
      <c r="C31" s="7" t="s">
        <v>260</v>
      </c>
      <c r="D31" s="7" t="s">
        <v>58</v>
      </c>
      <c r="E31" s="7" t="s">
        <v>261</v>
      </c>
      <c r="F31" s="7" t="s">
        <v>262</v>
      </c>
      <c r="G31" s="7" t="s">
        <v>263</v>
      </c>
      <c r="H31" s="7" t="s">
        <v>264</v>
      </c>
      <c r="I31" s="9" t="s">
        <v>51</v>
      </c>
      <c r="J31" s="9" t="s">
        <v>63</v>
      </c>
      <c r="K31" s="9" t="s">
        <v>64</v>
      </c>
      <c r="L31" s="9"/>
      <c r="M31" s="9" t="s">
        <v>53</v>
      </c>
      <c r="N31" s="9" t="s">
        <v>63</v>
      </c>
      <c r="O31" s="9" t="s">
        <v>64</v>
      </c>
      <c r="P31" s="9"/>
      <c r="Q31" s="7">
        <f>IF(OR(J31="",N31=""),"",IF(J31=N31,"sí","no"))</f>
      </c>
      <c r="R31" s="7">
        <f>IF(OR(K31="",O31=""),"",IF(K31=O31,"sí","no"))</f>
      </c>
      <c r="S31" s="9"/>
      <c r="T31" s="9"/>
      <c r="U31" s="9"/>
    </row>
    <row r="32" ht="45" customHeight="1" spans="1:21" x14ac:dyDescent="0.25">
      <c r="A32" s="7" t="s">
        <v>265</v>
      </c>
      <c r="B32" s="7" t="s">
        <v>266</v>
      </c>
      <c r="C32" s="7" t="s">
        <v>267</v>
      </c>
      <c r="D32" s="8" t="s">
        <v>46</v>
      </c>
      <c r="E32" s="7" t="s">
        <v>268</v>
      </c>
      <c r="F32" s="7" t="s">
        <v>269</v>
      </c>
      <c r="G32" s="7" t="s">
        <v>270</v>
      </c>
      <c r="H32" s="7" t="s">
        <v>271</v>
      </c>
      <c r="I32" s="9" t="s">
        <v>51</v>
      </c>
      <c r="J32" s="9" t="s">
        <v>52</v>
      </c>
      <c r="K32" s="9" t="s">
        <v>64</v>
      </c>
      <c r="L32" s="9"/>
      <c r="M32" s="9" t="s">
        <v>53</v>
      </c>
      <c r="N32" s="9" t="s">
        <v>52</v>
      </c>
      <c r="O32" s="9" t="s">
        <v>64</v>
      </c>
      <c r="P32" s="9"/>
      <c r="Q32" s="7">
        <f>IF(OR(J32="",N32=""),"",IF(J32=N32,"sí","no"))</f>
      </c>
      <c r="R32" s="7">
        <f>IF(OR(K32="",O32=""),"",IF(K32=O32,"sí","no"))</f>
      </c>
      <c r="S32" s="9"/>
      <c r="T32" s="9"/>
      <c r="U32" s="9"/>
    </row>
    <row r="33" ht="45" customHeight="1" spans="1:21" x14ac:dyDescent="0.25">
      <c r="A33" s="7" t="s">
        <v>272</v>
      </c>
      <c r="B33" s="7" t="s">
        <v>273</v>
      </c>
      <c r="C33" s="7" t="s">
        <v>274</v>
      </c>
      <c r="D33" s="7" t="s">
        <v>58</v>
      </c>
      <c r="E33" s="7" t="s">
        <v>275</v>
      </c>
      <c r="F33" s="7" t="s">
        <v>276</v>
      </c>
      <c r="G33" s="7" t="s">
        <v>277</v>
      </c>
      <c r="H33" s="7" t="s">
        <v>50</v>
      </c>
      <c r="I33" s="9" t="s">
        <v>51</v>
      </c>
      <c r="J33" s="9" t="s">
        <v>52</v>
      </c>
      <c r="K33" s="9" t="s">
        <v>64</v>
      </c>
      <c r="L33" s="9"/>
      <c r="M33" s="9" t="s">
        <v>53</v>
      </c>
      <c r="N33" s="9" t="s">
        <v>52</v>
      </c>
      <c r="O33" s="9" t="s">
        <v>64</v>
      </c>
      <c r="P33" s="9"/>
      <c r="Q33" s="7">
        <f>IF(OR(J33="",N33=""),"",IF(J33=N33,"sí","no"))</f>
      </c>
      <c r="R33" s="7">
        <f>IF(OR(K33="",O33=""),"",IF(K33=O33,"sí","no"))</f>
      </c>
      <c r="S33" s="9"/>
      <c r="T33" s="9"/>
      <c r="U33" s="9" t="s">
        <v>278</v>
      </c>
    </row>
    <row r="34" ht="45" customHeight="1" spans="1:21" x14ac:dyDescent="0.25">
      <c r="A34" s="7" t="s">
        <v>279</v>
      </c>
      <c r="B34" s="7" t="s">
        <v>280</v>
      </c>
      <c r="C34" s="7" t="s">
        <v>281</v>
      </c>
      <c r="D34" s="8" t="s">
        <v>46</v>
      </c>
      <c r="E34" s="7" t="s">
        <v>282</v>
      </c>
      <c r="F34" s="7" t="s">
        <v>283</v>
      </c>
      <c r="G34" s="7" t="s">
        <v>284</v>
      </c>
      <c r="H34" s="7" t="s">
        <v>285</v>
      </c>
      <c r="I34" s="9" t="s">
        <v>51</v>
      </c>
      <c r="J34" s="9" t="s">
        <v>54</v>
      </c>
      <c r="K34" s="9" t="s">
        <v>26</v>
      </c>
      <c r="L34" s="9"/>
      <c r="M34" s="9" t="s">
        <v>53</v>
      </c>
      <c r="N34" s="9" t="s">
        <v>54</v>
      </c>
      <c r="O34" s="9" t="s">
        <v>26</v>
      </c>
      <c r="P34" s="9"/>
      <c r="Q34" s="7">
        <f>IF(OR(J34="",N34=""),"",IF(J34=N34,"sí","no"))</f>
      </c>
      <c r="R34" s="7">
        <f>IF(OR(K34="",O34=""),"",IF(K34=O34,"sí","no"))</f>
      </c>
      <c r="S34" s="9"/>
      <c r="T34" s="9"/>
      <c r="U34" s="9"/>
    </row>
    <row r="35" ht="45" customHeight="1" spans="1:21" x14ac:dyDescent="0.25">
      <c r="A35" s="7" t="s">
        <v>286</v>
      </c>
      <c r="B35" s="7" t="s">
        <v>287</v>
      </c>
      <c r="C35" s="7" t="s">
        <v>288</v>
      </c>
      <c r="D35" s="7" t="s">
        <v>58</v>
      </c>
      <c r="E35" s="7" t="s">
        <v>221</v>
      </c>
      <c r="F35" s="7" t="s">
        <v>83</v>
      </c>
      <c r="G35" s="7" t="s">
        <v>289</v>
      </c>
      <c r="H35" s="7" t="s">
        <v>48</v>
      </c>
      <c r="I35" s="9" t="s">
        <v>51</v>
      </c>
      <c r="J35" s="9" t="s">
        <v>54</v>
      </c>
      <c r="K35" s="9" t="s">
        <v>26</v>
      </c>
      <c r="L35" s="9"/>
      <c r="M35" s="9" t="s">
        <v>53</v>
      </c>
      <c r="N35" s="9" t="s">
        <v>54</v>
      </c>
      <c r="O35" s="9" t="s">
        <v>26</v>
      </c>
      <c r="P35" s="9"/>
      <c r="Q35" s="7">
        <f>IF(OR(J35="",N35=""),"",IF(J35=N35,"sí","no"))</f>
      </c>
      <c r="R35" s="7">
        <f>IF(OR(K35="",O35=""),"",IF(K35=O35,"sí","no"))</f>
      </c>
      <c r="S35" s="9"/>
      <c r="T35" s="9"/>
      <c r="U35" s="9"/>
    </row>
    <row r="36" ht="45" customHeight="1" spans="1:21" x14ac:dyDescent="0.25">
      <c r="A36" s="7" t="s">
        <v>290</v>
      </c>
      <c r="B36" s="7" t="s">
        <v>291</v>
      </c>
      <c r="C36" s="7" t="s">
        <v>292</v>
      </c>
      <c r="D36" s="8" t="s">
        <v>46</v>
      </c>
      <c r="E36" s="7" t="s">
        <v>293</v>
      </c>
      <c r="F36" s="7" t="s">
        <v>204</v>
      </c>
      <c r="G36" s="7" t="s">
        <v>294</v>
      </c>
      <c r="H36" s="7" t="s">
        <v>295</v>
      </c>
      <c r="I36" s="9" t="s">
        <v>51</v>
      </c>
      <c r="J36" s="9" t="s">
        <v>52</v>
      </c>
      <c r="K36" s="9" t="s">
        <v>26</v>
      </c>
      <c r="L36" s="9"/>
      <c r="M36" s="9" t="s">
        <v>53</v>
      </c>
      <c r="N36" s="9" t="s">
        <v>52</v>
      </c>
      <c r="O36" s="9" t="s">
        <v>26</v>
      </c>
      <c r="P36" s="9"/>
      <c r="Q36" s="7">
        <f>IF(OR(J36="",N36=""),"",IF(J36=N36,"sí","no"))</f>
      </c>
      <c r="R36" s="7">
        <f>IF(OR(K36="",O36=""),"",IF(K36=O36,"sí","no"))</f>
      </c>
      <c r="S36" s="9"/>
      <c r="T36" s="9"/>
      <c r="U36" s="9"/>
    </row>
    <row r="37" ht="45" customHeight="1" spans="1:21" x14ac:dyDescent="0.25">
      <c r="A37" s="7" t="s">
        <v>296</v>
      </c>
      <c r="B37" s="7" t="s">
        <v>297</v>
      </c>
      <c r="C37" s="7" t="s">
        <v>298</v>
      </c>
      <c r="D37" s="8" t="s">
        <v>46</v>
      </c>
      <c r="E37" s="7" t="s">
        <v>299</v>
      </c>
      <c r="F37" s="7" t="s">
        <v>300</v>
      </c>
      <c r="G37" s="7" t="s">
        <v>301</v>
      </c>
      <c r="H37" s="7" t="s">
        <v>302</v>
      </c>
      <c r="I37" s="9" t="s">
        <v>51</v>
      </c>
      <c r="J37" s="9" t="s">
        <v>54</v>
      </c>
      <c r="K37" s="9" t="s">
        <v>26</v>
      </c>
      <c r="L37" s="9"/>
      <c r="M37" s="9" t="s">
        <v>53</v>
      </c>
      <c r="N37" s="9" t="s">
        <v>54</v>
      </c>
      <c r="O37" s="9" t="s">
        <v>26</v>
      </c>
      <c r="P37" s="9"/>
      <c r="Q37" s="7">
        <f>IF(OR(J37="",N37=""),"",IF(J37=N37,"sí","no"))</f>
      </c>
      <c r="R37" s="7">
        <f>IF(OR(K37="",O37=""),"",IF(K37=O37,"sí","no"))</f>
      </c>
      <c r="S37" s="9"/>
      <c r="T37" s="9"/>
      <c r="U37" s="9"/>
    </row>
    <row r="38" ht="45" customHeight="1" spans="1:21" x14ac:dyDescent="0.25">
      <c r="A38" s="7" t="s">
        <v>303</v>
      </c>
      <c r="B38" s="7" t="s">
        <v>304</v>
      </c>
      <c r="C38" s="7" t="s">
        <v>305</v>
      </c>
      <c r="D38" s="7" t="s">
        <v>58</v>
      </c>
      <c r="E38" s="7" t="s">
        <v>306</v>
      </c>
      <c r="F38" s="7" t="s">
        <v>307</v>
      </c>
      <c r="G38" s="7" t="s">
        <v>308</v>
      </c>
      <c r="H38" s="7" t="s">
        <v>309</v>
      </c>
      <c r="I38" s="9" t="s">
        <v>51</v>
      </c>
      <c r="J38" s="9" t="s">
        <v>52</v>
      </c>
      <c r="K38" s="9" t="s">
        <v>26</v>
      </c>
      <c r="L38" s="9"/>
      <c r="M38" s="9" t="s">
        <v>53</v>
      </c>
      <c r="N38" s="9" t="s">
        <v>52</v>
      </c>
      <c r="O38" s="9" t="s">
        <v>26</v>
      </c>
      <c r="P38" s="9"/>
      <c r="Q38" s="7">
        <f>IF(OR(J38="",N38=""),"",IF(J38=N38,"sí","no"))</f>
      </c>
      <c r="R38" s="7">
        <f>IF(OR(K38="",O38=""),"",IF(K38=O38,"sí","no"))</f>
      </c>
      <c r="S38" s="9"/>
      <c r="T38" s="9"/>
      <c r="U38" s="9" t="s">
        <v>310</v>
      </c>
    </row>
    <row r="39" ht="60" customHeight="1" spans="1:21" x14ac:dyDescent="0.25">
      <c r="A39" s="7" t="s">
        <v>311</v>
      </c>
      <c r="B39" s="7" t="s">
        <v>312</v>
      </c>
      <c r="C39" s="7" t="s">
        <v>313</v>
      </c>
      <c r="D39" s="7" t="s">
        <v>58</v>
      </c>
      <c r="E39" s="7" t="s">
        <v>314</v>
      </c>
      <c r="F39" s="7" t="s">
        <v>182</v>
      </c>
      <c r="G39" s="7" t="s">
        <v>315</v>
      </c>
      <c r="H39" s="7" t="s">
        <v>316</v>
      </c>
      <c r="I39" s="9" t="s">
        <v>51</v>
      </c>
      <c r="J39" s="9" t="s">
        <v>25</v>
      </c>
      <c r="K39" s="9" t="s">
        <v>26</v>
      </c>
      <c r="L39" s="9" t="s">
        <v>317</v>
      </c>
      <c r="M39" s="9" t="s">
        <v>53</v>
      </c>
      <c r="N39" s="9" t="s">
        <v>25</v>
      </c>
      <c r="O39" s="9" t="s">
        <v>26</v>
      </c>
      <c r="P39" s="9" t="s">
        <v>317</v>
      </c>
      <c r="Q39" s="7">
        <f>IF(OR(J39="",N39=""),"",IF(J39=N39,"sí","no"))</f>
      </c>
      <c r="R39" s="7">
        <f>IF(OR(K39="",O39=""),"",IF(K39=O39,"sí","no"))</f>
      </c>
      <c r="S39" s="9"/>
      <c r="T39" s="9"/>
      <c r="U39" s="9"/>
    </row>
    <row r="40" ht="45" customHeight="1" spans="1:21" x14ac:dyDescent="0.25">
      <c r="A40" s="7" t="s">
        <v>318</v>
      </c>
      <c r="B40" s="7" t="s">
        <v>319</v>
      </c>
      <c r="C40" s="7" t="s">
        <v>320</v>
      </c>
      <c r="D40" s="8" t="s">
        <v>46</v>
      </c>
      <c r="E40" s="7" t="s">
        <v>321</v>
      </c>
      <c r="F40" s="7" t="s">
        <v>322</v>
      </c>
      <c r="G40" s="7" t="s">
        <v>323</v>
      </c>
      <c r="H40" s="7" t="s">
        <v>213</v>
      </c>
      <c r="I40" s="9" t="s">
        <v>51</v>
      </c>
      <c r="J40" s="9" t="s">
        <v>25</v>
      </c>
      <c r="K40" s="9" t="s">
        <v>64</v>
      </c>
      <c r="L40" s="9" t="s">
        <v>324</v>
      </c>
      <c r="M40" s="9" t="s">
        <v>53</v>
      </c>
      <c r="N40" s="9" t="s">
        <v>25</v>
      </c>
      <c r="O40" s="9" t="s">
        <v>64</v>
      </c>
      <c r="P40" s="9" t="s">
        <v>325</v>
      </c>
      <c r="Q40" s="7">
        <f>IF(OR(J40="",N40=""),"",IF(J40=N40,"sí","no"))</f>
      </c>
      <c r="R40" s="7">
        <f>IF(OR(K40="",O40=""),"",IF(K40=O40,"sí","no"))</f>
      </c>
      <c r="S40" s="9"/>
      <c r="T40" s="9"/>
      <c r="U40" s="9"/>
    </row>
    <row r="41" ht="45" customHeight="1" spans="1:21" x14ac:dyDescent="0.25">
      <c r="A41" s="7" t="s">
        <v>326</v>
      </c>
      <c r="B41" s="7" t="s">
        <v>327</v>
      </c>
      <c r="C41" s="7" t="s">
        <v>328</v>
      </c>
      <c r="D41" s="8" t="s">
        <v>46</v>
      </c>
      <c r="E41" s="7" t="s">
        <v>329</v>
      </c>
      <c r="F41" s="7" t="s">
        <v>69</v>
      </c>
      <c r="G41" s="7" t="s">
        <v>330</v>
      </c>
      <c r="H41" s="7" t="s">
        <v>189</v>
      </c>
      <c r="I41" s="9" t="s">
        <v>51</v>
      </c>
      <c r="J41" s="9" t="s">
        <v>52</v>
      </c>
      <c r="K41" s="9" t="s">
        <v>64</v>
      </c>
      <c r="L41" s="9"/>
      <c r="M41" s="9" t="s">
        <v>53</v>
      </c>
      <c r="N41" s="9" t="s">
        <v>52</v>
      </c>
      <c r="O41" s="9" t="s">
        <v>64</v>
      </c>
      <c r="P41" s="9"/>
      <c r="Q41" s="7">
        <f>IF(OR(J41="",N41=""),"",IF(J41=N41,"sí","no"))</f>
      </c>
      <c r="R41" s="7">
        <f>IF(OR(K41="",O41=""),"",IF(K41=O41,"sí","no"))</f>
      </c>
      <c r="S41" s="9"/>
      <c r="T41" s="9"/>
      <c r="U41" s="9" t="s">
        <v>331</v>
      </c>
    </row>
    <row r="42" ht="45" customHeight="1" spans="1:21" x14ac:dyDescent="0.25">
      <c r="A42" s="7" t="s">
        <v>332</v>
      </c>
      <c r="B42" s="7" t="s">
        <v>333</v>
      </c>
      <c r="C42" s="7" t="s">
        <v>334</v>
      </c>
      <c r="D42" s="8" t="s">
        <v>46</v>
      </c>
      <c r="E42" s="7" t="s">
        <v>335</v>
      </c>
      <c r="F42" s="7" t="s">
        <v>336</v>
      </c>
      <c r="G42" s="7" t="s">
        <v>337</v>
      </c>
      <c r="H42" s="7" t="s">
        <v>338</v>
      </c>
      <c r="I42" s="9" t="s">
        <v>51</v>
      </c>
      <c r="J42" s="9" t="s">
        <v>52</v>
      </c>
      <c r="K42" s="9"/>
      <c r="L42" s="9"/>
      <c r="M42" s="9" t="s">
        <v>53</v>
      </c>
      <c r="N42" s="9" t="s">
        <v>52</v>
      </c>
      <c r="O42" s="9"/>
      <c r="P42" s="9"/>
      <c r="Q42" s="7">
        <f>IF(OR(J42="",N42=""),"",IF(J42=N42,"sí","no"))</f>
      </c>
      <c r="R42" s="7">
        <f>IF(OR(K42="",O42=""),"",IF(K42=O42,"sí","no"))</f>
      </c>
      <c r="S42" s="9"/>
      <c r="T42" s="9"/>
      <c r="U42" s="9" t="s">
        <v>339</v>
      </c>
    </row>
    <row r="43" ht="60" customHeight="1" spans="1:21" x14ac:dyDescent="0.25">
      <c r="A43" s="7" t="s">
        <v>340</v>
      </c>
      <c r="B43" s="7" t="s">
        <v>341</v>
      </c>
      <c r="C43" s="7" t="s">
        <v>342</v>
      </c>
      <c r="D43" s="7" t="s">
        <v>58</v>
      </c>
      <c r="E43" s="7" t="s">
        <v>343</v>
      </c>
      <c r="F43" s="7" t="s">
        <v>244</v>
      </c>
      <c r="G43" s="7" t="s">
        <v>344</v>
      </c>
      <c r="H43" s="7" t="s">
        <v>213</v>
      </c>
      <c r="I43" s="9" t="s">
        <v>51</v>
      </c>
      <c r="J43" s="9" t="s">
        <v>52</v>
      </c>
      <c r="K43" s="9" t="s">
        <v>64</v>
      </c>
      <c r="L43" s="9"/>
      <c r="M43" s="9" t="s">
        <v>53</v>
      </c>
      <c r="N43" s="9" t="s">
        <v>52</v>
      </c>
      <c r="O43" s="9" t="s">
        <v>64</v>
      </c>
      <c r="P43" s="9"/>
      <c r="Q43" s="7">
        <f>IF(OR(J43="",N43=""),"",IF(J43=N43,"sí","no"))</f>
      </c>
      <c r="R43" s="7">
        <f>IF(OR(K43="",O43=""),"",IF(K43=O43,"sí","no"))</f>
      </c>
      <c r="S43" s="9"/>
      <c r="T43" s="9"/>
      <c r="U43" s="9"/>
    </row>
    <row r="44" ht="45" customHeight="1" spans="1:21" x14ac:dyDescent="0.25">
      <c r="A44" s="7" t="s">
        <v>345</v>
      </c>
      <c r="B44" s="7" t="s">
        <v>346</v>
      </c>
      <c r="C44" s="7" t="s">
        <v>347</v>
      </c>
      <c r="D44" s="7" t="s">
        <v>58</v>
      </c>
      <c r="E44" s="7" t="s">
        <v>348</v>
      </c>
      <c r="F44" s="7" t="s">
        <v>349</v>
      </c>
      <c r="G44" s="7" t="s">
        <v>350</v>
      </c>
      <c r="H44" s="7" t="s">
        <v>351</v>
      </c>
      <c r="I44" s="9" t="s">
        <v>51</v>
      </c>
      <c r="J44" s="9" t="s">
        <v>63</v>
      </c>
      <c r="K44" s="9" t="s">
        <v>26</v>
      </c>
      <c r="L44" s="9"/>
      <c r="M44" s="9" t="s">
        <v>53</v>
      </c>
      <c r="N44" s="9" t="s">
        <v>63</v>
      </c>
      <c r="O44" s="9" t="s">
        <v>26</v>
      </c>
      <c r="P44" s="9"/>
      <c r="Q44" s="7">
        <f>IF(OR(J44="",N44=""),"",IF(J44=N44,"sí","no"))</f>
      </c>
      <c r="R44" s="7">
        <f>IF(OR(K44="",O44=""),"",IF(K44=O44,"sí","no"))</f>
      </c>
      <c r="S44" s="9"/>
      <c r="T44" s="9"/>
      <c r="U44" s="9"/>
    </row>
    <row r="45" ht="105" customHeight="1" spans="1:21" x14ac:dyDescent="0.25">
      <c r="A45" s="7" t="s">
        <v>352</v>
      </c>
      <c r="B45" s="7" t="s">
        <v>353</v>
      </c>
      <c r="C45" s="7" t="s">
        <v>354</v>
      </c>
      <c r="D45" s="8" t="s">
        <v>46</v>
      </c>
      <c r="E45" s="7" t="s">
        <v>355</v>
      </c>
      <c r="F45" s="7" t="s">
        <v>235</v>
      </c>
      <c r="G45" s="7" t="s">
        <v>356</v>
      </c>
      <c r="H45" s="7" t="s">
        <v>357</v>
      </c>
      <c r="I45" s="9" t="s">
        <v>51</v>
      </c>
      <c r="J45" s="9" t="s">
        <v>63</v>
      </c>
      <c r="K45" s="9" t="s">
        <v>64</v>
      </c>
      <c r="L45" s="9"/>
      <c r="M45" s="9" t="s">
        <v>53</v>
      </c>
      <c r="N45" s="9" t="s">
        <v>63</v>
      </c>
      <c r="O45" s="9" t="s">
        <v>64</v>
      </c>
      <c r="P45" s="9"/>
      <c r="Q45" s="7">
        <f>IF(OR(J45="",N45=""),"",IF(J45=N45,"sí","no"))</f>
      </c>
      <c r="R45" s="7">
        <f>IF(OR(K45="",O45=""),"",IF(K45=O45,"sí","no"))</f>
      </c>
      <c r="S45" s="9"/>
      <c r="T45" s="9"/>
      <c r="U45" s="9"/>
    </row>
    <row r="46" ht="60" customHeight="1" spans="1:21" x14ac:dyDescent="0.25">
      <c r="A46" s="7" t="s">
        <v>358</v>
      </c>
      <c r="B46" s="7" t="s">
        <v>359</v>
      </c>
      <c r="C46" s="7" t="s">
        <v>360</v>
      </c>
      <c r="D46" s="8" t="s">
        <v>46</v>
      </c>
      <c r="E46" s="7" t="s">
        <v>361</v>
      </c>
      <c r="F46" s="7" t="s">
        <v>362</v>
      </c>
      <c r="G46" s="7" t="s">
        <v>363</v>
      </c>
      <c r="H46" s="7" t="s">
        <v>204</v>
      </c>
      <c r="I46" s="9" t="s">
        <v>51</v>
      </c>
      <c r="J46" s="9" t="s">
        <v>52</v>
      </c>
      <c r="K46" s="9" t="s">
        <v>64</v>
      </c>
      <c r="L46" s="9"/>
      <c r="M46" s="9" t="s">
        <v>53</v>
      </c>
      <c r="N46" s="9" t="s">
        <v>52</v>
      </c>
      <c r="O46" s="9" t="s">
        <v>64</v>
      </c>
      <c r="P46" s="9"/>
      <c r="Q46" s="7">
        <f>IF(OR(J46="",N46=""),"",IF(J46=N46,"sí","no"))</f>
      </c>
      <c r="R46" s="7">
        <f>IF(OR(K46="",O46=""),"",IF(K46=O46,"sí","no"))</f>
      </c>
      <c r="S46" s="9"/>
      <c r="T46" s="9"/>
      <c r="U46" s="9"/>
    </row>
    <row r="47" ht="45" customHeight="1" spans="1:21" x14ac:dyDescent="0.25">
      <c r="A47" s="7" t="s">
        <v>364</v>
      </c>
      <c r="B47" s="7" t="s">
        <v>365</v>
      </c>
      <c r="C47" s="7" t="s">
        <v>366</v>
      </c>
      <c r="D47" s="8" t="s">
        <v>46</v>
      </c>
      <c r="E47" s="7" t="s">
        <v>367</v>
      </c>
      <c r="F47" s="7" t="s">
        <v>368</v>
      </c>
      <c r="G47" s="7" t="s">
        <v>369</v>
      </c>
      <c r="H47" s="7" t="s">
        <v>370</v>
      </c>
      <c r="I47" s="9" t="s">
        <v>51</v>
      </c>
      <c r="J47" s="9" t="s">
        <v>54</v>
      </c>
      <c r="K47" s="9" t="s">
        <v>26</v>
      </c>
      <c r="L47" s="9"/>
      <c r="M47" s="9" t="s">
        <v>53</v>
      </c>
      <c r="N47" s="9" t="s">
        <v>54</v>
      </c>
      <c r="O47" s="9" t="s">
        <v>26</v>
      </c>
      <c r="P47" s="9"/>
      <c r="Q47" s="7">
        <f>IF(OR(J47="",N47=""),"",IF(J47=N47,"sí","no"))</f>
      </c>
      <c r="R47" s="7">
        <f>IF(OR(K47="",O47=""),"",IF(K47=O47,"sí","no"))</f>
      </c>
      <c r="S47" s="9"/>
      <c r="T47" s="9"/>
      <c r="U47" s="9"/>
    </row>
    <row r="48" ht="45" customHeight="1" spans="1:21" x14ac:dyDescent="0.25">
      <c r="A48" s="7" t="s">
        <v>371</v>
      </c>
      <c r="B48" s="7" t="s">
        <v>372</v>
      </c>
      <c r="C48" s="7" t="s">
        <v>373</v>
      </c>
      <c r="D48" s="8" t="s">
        <v>46</v>
      </c>
      <c r="E48" s="7" t="s">
        <v>374</v>
      </c>
      <c r="F48" s="7" t="s">
        <v>375</v>
      </c>
      <c r="G48" s="7"/>
      <c r="H48" s="7"/>
      <c r="I48" s="9" t="s">
        <v>51</v>
      </c>
      <c r="J48" s="9" t="s">
        <v>54</v>
      </c>
      <c r="K48" s="9" t="s">
        <v>26</v>
      </c>
      <c r="L48" s="9"/>
      <c r="M48" s="9" t="s">
        <v>53</v>
      </c>
      <c r="N48" s="9" t="s">
        <v>54</v>
      </c>
      <c r="O48" s="9" t="s">
        <v>26</v>
      </c>
      <c r="P48" s="9"/>
      <c r="Q48" s="7">
        <f>IF(OR(J48="",N48=""),"",IF(J48=N48,"sí","no"))</f>
      </c>
      <c r="R48" s="7">
        <f>IF(OR(K48="",O48=""),"",IF(K48=O48,"sí","no"))</f>
      </c>
      <c r="S48" s="9"/>
      <c r="T48" s="9"/>
      <c r="U48" s="9"/>
    </row>
    <row r="49" ht="45" customHeight="1" spans="1:21" x14ac:dyDescent="0.25">
      <c r="A49" s="7" t="s">
        <v>376</v>
      </c>
      <c r="B49" s="7" t="s">
        <v>377</v>
      </c>
      <c r="C49" s="7" t="s">
        <v>378</v>
      </c>
      <c r="D49" s="8" t="s">
        <v>46</v>
      </c>
      <c r="E49" s="7" t="s">
        <v>379</v>
      </c>
      <c r="F49" s="7" t="s">
        <v>295</v>
      </c>
      <c r="G49" s="7" t="s">
        <v>380</v>
      </c>
      <c r="H49" s="7" t="s">
        <v>381</v>
      </c>
      <c r="I49" s="9" t="s">
        <v>51</v>
      </c>
      <c r="J49" s="9" t="s">
        <v>25</v>
      </c>
      <c r="K49" s="9" t="s">
        <v>26</v>
      </c>
      <c r="L49" s="9" t="s">
        <v>382</v>
      </c>
      <c r="M49" s="9" t="s">
        <v>53</v>
      </c>
      <c r="N49" s="9" t="s">
        <v>25</v>
      </c>
      <c r="O49" s="9" t="s">
        <v>26</v>
      </c>
      <c r="P49" s="9" t="s">
        <v>382</v>
      </c>
      <c r="Q49" s="7">
        <f>IF(OR(J49="",N49=""),"",IF(J49=N49,"sí","no"))</f>
      </c>
      <c r="R49" s="7">
        <f>IF(OR(K49="",O49=""),"",IF(K49=O49,"sí","no"))</f>
      </c>
      <c r="S49" s="9"/>
      <c r="T49" s="9"/>
      <c r="U49" s="9"/>
    </row>
    <row r="50" ht="60" customHeight="1" spans="1:21" x14ac:dyDescent="0.25">
      <c r="A50" s="7" t="s">
        <v>383</v>
      </c>
      <c r="B50" s="7" t="s">
        <v>384</v>
      </c>
      <c r="C50" s="7" t="s">
        <v>385</v>
      </c>
      <c r="D50" s="8" t="s">
        <v>46</v>
      </c>
      <c r="E50" s="7" t="s">
        <v>386</v>
      </c>
      <c r="F50" s="7" t="s">
        <v>83</v>
      </c>
      <c r="G50" s="7" t="s">
        <v>387</v>
      </c>
      <c r="H50" s="7" t="s">
        <v>81</v>
      </c>
      <c r="I50" s="9" t="s">
        <v>51</v>
      </c>
      <c r="J50" s="9" t="s">
        <v>25</v>
      </c>
      <c r="K50" s="9" t="s">
        <v>64</v>
      </c>
      <c r="L50" s="9" t="s">
        <v>388</v>
      </c>
      <c r="M50" s="9" t="s">
        <v>53</v>
      </c>
      <c r="N50" s="9" t="s">
        <v>25</v>
      </c>
      <c r="O50" s="9" t="s">
        <v>64</v>
      </c>
      <c r="P50" s="9" t="s">
        <v>389</v>
      </c>
      <c r="Q50" s="7">
        <f>IF(OR(J50="",N50=""),"",IF(J50=N50,"sí","no"))</f>
      </c>
      <c r="R50" s="7">
        <f>IF(OR(K50="",O50=""),"",IF(K50=O50,"sí","no"))</f>
      </c>
      <c r="S50" s="9"/>
      <c r="T50" s="9"/>
      <c r="U50" s="9"/>
    </row>
    <row r="51" ht="60" customHeight="1" spans="1:21" x14ac:dyDescent="0.25">
      <c r="A51" s="7" t="s">
        <v>390</v>
      </c>
      <c r="B51" s="7" t="s">
        <v>391</v>
      </c>
      <c r="C51" s="7" t="s">
        <v>392</v>
      </c>
      <c r="D51" s="7" t="s">
        <v>58</v>
      </c>
      <c r="E51" s="7" t="s">
        <v>393</v>
      </c>
      <c r="F51" s="7" t="s">
        <v>182</v>
      </c>
      <c r="G51" s="7" t="s">
        <v>394</v>
      </c>
      <c r="H51" s="7" t="s">
        <v>395</v>
      </c>
      <c r="I51" s="9" t="s">
        <v>51</v>
      </c>
      <c r="J51" s="9" t="s">
        <v>63</v>
      </c>
      <c r="K51" s="9" t="s">
        <v>64</v>
      </c>
      <c r="L51" s="9"/>
      <c r="M51" s="9" t="s">
        <v>53</v>
      </c>
      <c r="N51" s="9" t="s">
        <v>63</v>
      </c>
      <c r="O51" s="9" t="s">
        <v>64</v>
      </c>
      <c r="P51" s="9"/>
      <c r="Q51" s="7">
        <f>IF(OR(J51="",N51=""),"",IF(J51=N51,"sí","no"))</f>
      </c>
      <c r="R51" s="7">
        <f>IF(OR(K51="",O51=""),"",IF(K51=O51,"sí","no"))</f>
      </c>
      <c r="S51" s="9"/>
      <c r="T51" s="9"/>
      <c r="U51" s="9"/>
    </row>
    <row r="52" ht="45" customHeight="1" spans="1:21" x14ac:dyDescent="0.25">
      <c r="A52" s="7" t="s">
        <v>396</v>
      </c>
      <c r="B52" s="7" t="s">
        <v>397</v>
      </c>
      <c r="C52" s="7" t="s">
        <v>398</v>
      </c>
      <c r="D52" s="7" t="s">
        <v>58</v>
      </c>
      <c r="E52" s="7" t="s">
        <v>399</v>
      </c>
      <c r="F52" s="7" t="s">
        <v>110</v>
      </c>
      <c r="G52" s="7" t="s">
        <v>400</v>
      </c>
      <c r="H52" s="7" t="s">
        <v>165</v>
      </c>
      <c r="I52" s="9" t="s">
        <v>51</v>
      </c>
      <c r="J52" s="9" t="s">
        <v>63</v>
      </c>
      <c r="K52" s="9" t="s">
        <v>64</v>
      </c>
      <c r="L52" s="9"/>
      <c r="M52" s="9" t="s">
        <v>53</v>
      </c>
      <c r="N52" s="9" t="s">
        <v>63</v>
      </c>
      <c r="O52" s="9" t="s">
        <v>64</v>
      </c>
      <c r="P52" s="9"/>
      <c r="Q52" s="7">
        <f>IF(OR(J52="",N52=""),"",IF(J52=N52,"sí","no"))</f>
      </c>
      <c r="R52" s="7">
        <f>IF(OR(K52="",O52=""),"",IF(K52=O52,"sí","no"))</f>
      </c>
      <c r="S52" s="9"/>
      <c r="T52" s="9"/>
      <c r="U52" s="9"/>
    </row>
    <row r="53" ht="30" customHeight="1" spans="1:21" x14ac:dyDescent="0.25">
      <c r="A53" s="7" t="s">
        <v>401</v>
      </c>
      <c r="B53" s="7" t="s">
        <v>402</v>
      </c>
      <c r="C53" s="7" t="s">
        <v>403</v>
      </c>
      <c r="D53" s="8" t="s">
        <v>46</v>
      </c>
      <c r="E53" s="7" t="s">
        <v>404</v>
      </c>
      <c r="F53" s="7" t="s">
        <v>189</v>
      </c>
      <c r="G53" s="7" t="s">
        <v>405</v>
      </c>
      <c r="H53" s="7" t="s">
        <v>189</v>
      </c>
      <c r="I53" s="9" t="s">
        <v>51</v>
      </c>
      <c r="J53" s="9" t="s">
        <v>54</v>
      </c>
      <c r="K53" s="9" t="s">
        <v>26</v>
      </c>
      <c r="L53" s="9"/>
      <c r="M53" s="9" t="s">
        <v>53</v>
      </c>
      <c r="N53" s="9" t="s">
        <v>54</v>
      </c>
      <c r="O53" s="9" t="s">
        <v>26</v>
      </c>
      <c r="P53" s="9"/>
      <c r="Q53" s="7">
        <f>IF(OR(J53="",N53=""),"",IF(J53=N53,"sí","no"))</f>
      </c>
      <c r="R53" s="7">
        <f>IF(OR(K53="",O53=""),"",IF(K53=O53,"sí","no"))</f>
      </c>
      <c r="S53" s="9"/>
      <c r="T53" s="9"/>
      <c r="U53" s="9"/>
    </row>
    <row r="54" ht="45" customHeight="1" spans="1:21" x14ac:dyDescent="0.25">
      <c r="A54" s="7" t="s">
        <v>406</v>
      </c>
      <c r="B54" s="7" t="s">
        <v>407</v>
      </c>
      <c r="C54" s="7" t="s">
        <v>408</v>
      </c>
      <c r="D54" s="7" t="s">
        <v>58</v>
      </c>
      <c r="E54" s="7" t="s">
        <v>409</v>
      </c>
      <c r="F54" s="7" t="s">
        <v>81</v>
      </c>
      <c r="G54" s="7" t="s">
        <v>410</v>
      </c>
      <c r="H54" s="7" t="s">
        <v>411</v>
      </c>
      <c r="I54" s="9" t="s">
        <v>51</v>
      </c>
      <c r="J54" s="9" t="s">
        <v>63</v>
      </c>
      <c r="K54" s="9" t="s">
        <v>26</v>
      </c>
      <c r="L54" s="9"/>
      <c r="M54" s="9" t="s">
        <v>53</v>
      </c>
      <c r="N54" s="9" t="s">
        <v>63</v>
      </c>
      <c r="O54" s="9" t="s">
        <v>26</v>
      </c>
      <c r="P54" s="9"/>
      <c r="Q54" s="7">
        <f>IF(OR(J54="",N54=""),"",IF(J54=N54,"sí","no"))</f>
      </c>
      <c r="R54" s="7">
        <f>IF(OR(K54="",O54=""),"",IF(K54=O54,"sí","no"))</f>
      </c>
      <c r="S54" s="9"/>
      <c r="T54" s="9"/>
      <c r="U54" s="9"/>
    </row>
    <row r="55" ht="60" customHeight="1" spans="1:21" x14ac:dyDescent="0.25">
      <c r="A55" s="7" t="s">
        <v>412</v>
      </c>
      <c r="B55" s="7" t="s">
        <v>413</v>
      </c>
      <c r="C55" s="7" t="s">
        <v>414</v>
      </c>
      <c r="D55" s="7" t="s">
        <v>58</v>
      </c>
      <c r="E55" s="7" t="s">
        <v>415</v>
      </c>
      <c r="F55" s="7" t="s">
        <v>81</v>
      </c>
      <c r="G55" s="7" t="s">
        <v>416</v>
      </c>
      <c r="H55" s="7" t="s">
        <v>182</v>
      </c>
      <c r="I55" s="9" t="s">
        <v>51</v>
      </c>
      <c r="J55" s="9" t="s">
        <v>25</v>
      </c>
      <c r="K55" s="9"/>
      <c r="L55" s="9" t="s">
        <v>417</v>
      </c>
      <c r="M55" s="9" t="s">
        <v>53</v>
      </c>
      <c r="N55" s="9" t="s">
        <v>25</v>
      </c>
      <c r="O55" s="9"/>
      <c r="P55" s="9" t="s">
        <v>418</v>
      </c>
      <c r="Q55" s="7">
        <f>IF(OR(J55="",N55=""),"",IF(J55=N55,"sí","no"))</f>
      </c>
      <c r="R55" s="7">
        <f>IF(OR(K55="",O55=""),"",IF(K55=O55,"sí","no"))</f>
      </c>
      <c r="S55" s="9"/>
      <c r="T55" s="9"/>
      <c r="U55" s="9" t="s">
        <v>419</v>
      </c>
    </row>
    <row r="56" ht="75" customHeight="1" spans="1:21" x14ac:dyDescent="0.25">
      <c r="A56" s="7" t="s">
        <v>420</v>
      </c>
      <c r="B56" s="7" t="s">
        <v>421</v>
      </c>
      <c r="C56" s="7" t="s">
        <v>422</v>
      </c>
      <c r="D56" s="7" t="s">
        <v>58</v>
      </c>
      <c r="E56" s="7" t="s">
        <v>423</v>
      </c>
      <c r="F56" s="7" t="s">
        <v>424</v>
      </c>
      <c r="G56" s="7" t="s">
        <v>425</v>
      </c>
      <c r="H56" s="7" t="s">
        <v>426</v>
      </c>
      <c r="I56" s="9" t="s">
        <v>51</v>
      </c>
      <c r="J56" s="9" t="s">
        <v>52</v>
      </c>
      <c r="K56" s="9"/>
      <c r="L56" s="9"/>
      <c r="M56" s="9" t="s">
        <v>53</v>
      </c>
      <c r="N56" s="9" t="s">
        <v>52</v>
      </c>
      <c r="O56" s="9"/>
      <c r="P56" s="9"/>
      <c r="Q56" s="7">
        <f>IF(OR(J56="",N56=""),"",IF(J56=N56,"sí","no"))</f>
      </c>
      <c r="R56" s="7">
        <f>IF(OR(K56="",O56=""),"",IF(K56=O56,"sí","no"))</f>
      </c>
      <c r="S56" s="9"/>
      <c r="T56" s="9"/>
      <c r="U56" s="9" t="s">
        <v>427</v>
      </c>
    </row>
    <row r="57" ht="45" customHeight="1" spans="1:21" x14ac:dyDescent="0.25">
      <c r="A57" s="7" t="s">
        <v>428</v>
      </c>
      <c r="B57" s="7" t="s">
        <v>429</v>
      </c>
      <c r="C57" s="7" t="s">
        <v>430</v>
      </c>
      <c r="D57" s="8" t="s">
        <v>46</v>
      </c>
      <c r="E57" s="7" t="s">
        <v>431</v>
      </c>
      <c r="F57" s="7" t="s">
        <v>432</v>
      </c>
      <c r="G57" s="7" t="s">
        <v>433</v>
      </c>
      <c r="H57" s="7" t="s">
        <v>434</v>
      </c>
      <c r="I57" s="9" t="s">
        <v>51</v>
      </c>
      <c r="J57" s="9" t="s">
        <v>52</v>
      </c>
      <c r="K57" s="9" t="s">
        <v>26</v>
      </c>
      <c r="L57" s="9"/>
      <c r="M57" s="9" t="s">
        <v>53</v>
      </c>
      <c r="N57" s="9" t="s">
        <v>52</v>
      </c>
      <c r="O57" s="9" t="s">
        <v>26</v>
      </c>
      <c r="P57" s="9"/>
      <c r="Q57" s="7">
        <f>IF(OR(J57="",N57=""),"",IF(J57=N57,"sí","no"))</f>
      </c>
      <c r="R57" s="7">
        <f>IF(OR(K57="",O57=""),"",IF(K57=O57,"sí","no"))</f>
      </c>
      <c r="S57" s="9"/>
      <c r="T57" s="9"/>
      <c r="U57" s="9"/>
    </row>
    <row r="58" ht="45" customHeight="1" spans="1:21" x14ac:dyDescent="0.25">
      <c r="A58" s="7" t="s">
        <v>435</v>
      </c>
      <c r="B58" s="7" t="s">
        <v>436</v>
      </c>
      <c r="C58" s="7" t="s">
        <v>437</v>
      </c>
      <c r="D58" s="8" t="s">
        <v>46</v>
      </c>
      <c r="E58" s="7" t="s">
        <v>438</v>
      </c>
      <c r="F58" s="7" t="s">
        <v>269</v>
      </c>
      <c r="G58" s="7" t="s">
        <v>439</v>
      </c>
      <c r="H58" s="7" t="s">
        <v>440</v>
      </c>
      <c r="I58" s="9" t="s">
        <v>51</v>
      </c>
      <c r="J58" s="9" t="s">
        <v>52</v>
      </c>
      <c r="K58" s="9" t="s">
        <v>64</v>
      </c>
      <c r="L58" s="9"/>
      <c r="M58" s="9" t="s">
        <v>53</v>
      </c>
      <c r="N58" s="9" t="s">
        <v>52</v>
      </c>
      <c r="O58" s="9" t="s">
        <v>64</v>
      </c>
      <c r="P58" s="9"/>
      <c r="Q58" s="7">
        <f>IF(OR(J58="",N58=""),"",IF(J58=N58,"sí","no"))</f>
      </c>
      <c r="R58" s="7">
        <f>IF(OR(K58="",O58=""),"",IF(K58=O58,"sí","no"))</f>
      </c>
      <c r="S58" s="9"/>
      <c r="T58" s="9"/>
      <c r="U58" s="9"/>
    </row>
    <row r="59" ht="60" customHeight="1" spans="1:21" x14ac:dyDescent="0.25">
      <c r="A59" s="7" t="s">
        <v>441</v>
      </c>
      <c r="B59" s="7" t="s">
        <v>442</v>
      </c>
      <c r="C59" s="7" t="s">
        <v>443</v>
      </c>
      <c r="D59" s="8" t="s">
        <v>46</v>
      </c>
      <c r="E59" s="7" t="s">
        <v>444</v>
      </c>
      <c r="F59" s="7" t="s">
        <v>276</v>
      </c>
      <c r="G59" s="7" t="s">
        <v>445</v>
      </c>
      <c r="H59" s="7" t="s">
        <v>446</v>
      </c>
      <c r="I59" s="9" t="s">
        <v>51</v>
      </c>
      <c r="J59" s="9" t="s">
        <v>52</v>
      </c>
      <c r="K59" s="9"/>
      <c r="L59" s="9"/>
      <c r="M59" s="9" t="s">
        <v>53</v>
      </c>
      <c r="N59" s="9" t="s">
        <v>52</v>
      </c>
      <c r="O59" s="9"/>
      <c r="P59" s="9"/>
      <c r="Q59" s="7">
        <f>IF(OR(J59="",N59=""),"",IF(J59=N59,"sí","no"))</f>
      </c>
      <c r="R59" s="7">
        <f>IF(OR(K59="",O59=""),"",IF(K59=O59,"sí","no"))</f>
      </c>
      <c r="S59" s="9"/>
      <c r="T59" s="9"/>
      <c r="U59" s="9" t="s">
        <v>447</v>
      </c>
    </row>
    <row r="60" ht="45" customHeight="1" spans="1:21" x14ac:dyDescent="0.25">
      <c r="A60" s="7" t="s">
        <v>448</v>
      </c>
      <c r="B60" s="7" t="s">
        <v>449</v>
      </c>
      <c r="C60" s="7" t="s">
        <v>450</v>
      </c>
      <c r="D60" s="8" t="s">
        <v>46</v>
      </c>
      <c r="E60" s="7" t="s">
        <v>451</v>
      </c>
      <c r="F60" s="7" t="s">
        <v>242</v>
      </c>
      <c r="G60" s="7" t="s">
        <v>452</v>
      </c>
      <c r="H60" s="7" t="s">
        <v>453</v>
      </c>
      <c r="I60" s="9" t="s">
        <v>51</v>
      </c>
      <c r="J60" s="9" t="s">
        <v>52</v>
      </c>
      <c r="K60" s="9" t="s">
        <v>64</v>
      </c>
      <c r="L60" s="9"/>
      <c r="M60" s="9" t="s">
        <v>53</v>
      </c>
      <c r="N60" s="9" t="s">
        <v>52</v>
      </c>
      <c r="O60" s="9" t="s">
        <v>64</v>
      </c>
      <c r="P60" s="9"/>
      <c r="Q60" s="7">
        <f>IF(OR(J60="",N60=""),"",IF(J60=N60,"sí","no"))</f>
      </c>
      <c r="R60" s="7">
        <f>IF(OR(K60="",O60=""),"",IF(K60=O60,"sí","no"))</f>
      </c>
      <c r="S60" s="9"/>
      <c r="T60" s="9"/>
      <c r="U60" s="9"/>
    </row>
    <row r="61" ht="45" customHeight="1" spans="1:21" x14ac:dyDescent="0.25">
      <c r="A61" s="7" t="s">
        <v>454</v>
      </c>
      <c r="B61" s="7" t="s">
        <v>455</v>
      </c>
      <c r="C61" s="7" t="s">
        <v>456</v>
      </c>
      <c r="D61" s="7" t="s">
        <v>58</v>
      </c>
      <c r="E61" s="7" t="s">
        <v>415</v>
      </c>
      <c r="F61" s="7" t="s">
        <v>81</v>
      </c>
      <c r="G61" s="7" t="s">
        <v>394</v>
      </c>
      <c r="H61" s="7" t="s">
        <v>395</v>
      </c>
      <c r="I61" s="9" t="s">
        <v>51</v>
      </c>
      <c r="J61" s="9" t="s">
        <v>63</v>
      </c>
      <c r="K61" s="9" t="s">
        <v>64</v>
      </c>
      <c r="L61" s="9"/>
      <c r="M61" s="9" t="s">
        <v>53</v>
      </c>
      <c r="N61" s="9" t="s">
        <v>63</v>
      </c>
      <c r="O61" s="9" t="s">
        <v>64</v>
      </c>
      <c r="P61" s="9"/>
      <c r="Q61" s="7">
        <f>IF(OR(J61="",N61=""),"",IF(J61=N61,"sí","no"))</f>
      </c>
      <c r="R61" s="7">
        <f>IF(OR(K61="",O61=""),"",IF(K61=O61,"sí","no"))</f>
      </c>
      <c r="S61" s="9"/>
      <c r="T61" s="9"/>
      <c r="U61" s="9"/>
    </row>
    <row r="62" ht="45" customHeight="1" spans="1:21" x14ac:dyDescent="0.25">
      <c r="A62" s="7" t="s">
        <v>457</v>
      </c>
      <c r="B62" s="7" t="s">
        <v>458</v>
      </c>
      <c r="C62" s="7" t="s">
        <v>459</v>
      </c>
      <c r="D62" s="7" t="s">
        <v>58</v>
      </c>
      <c r="E62" s="7" t="s">
        <v>460</v>
      </c>
      <c r="F62" s="7" t="s">
        <v>309</v>
      </c>
      <c r="G62" s="7" t="s">
        <v>461</v>
      </c>
      <c r="H62" s="7" t="s">
        <v>322</v>
      </c>
      <c r="I62" s="9" t="s">
        <v>51</v>
      </c>
      <c r="J62" s="9" t="s">
        <v>63</v>
      </c>
      <c r="K62" s="9" t="s">
        <v>26</v>
      </c>
      <c r="L62" s="9"/>
      <c r="M62" s="9" t="s">
        <v>53</v>
      </c>
      <c r="N62" s="9" t="s">
        <v>63</v>
      </c>
      <c r="O62" s="9" t="s">
        <v>26</v>
      </c>
      <c r="P62" s="9"/>
      <c r="Q62" s="7">
        <f>IF(OR(J62="",N62=""),"",IF(J62=N62,"sí","no"))</f>
      </c>
      <c r="R62" s="7">
        <f>IF(OR(K62="",O62=""),"",IF(K62=O62,"sí","no"))</f>
      </c>
      <c r="S62" s="9"/>
      <c r="T62" s="9"/>
      <c r="U62" s="9"/>
    </row>
    <row r="63" ht="45" customHeight="1" spans="1:21" x14ac:dyDescent="0.25">
      <c r="A63" s="7" t="s">
        <v>462</v>
      </c>
      <c r="B63" s="7" t="s">
        <v>463</v>
      </c>
      <c r="C63" s="7" t="s">
        <v>464</v>
      </c>
      <c r="D63" s="8" t="s">
        <v>46</v>
      </c>
      <c r="E63" s="7" t="s">
        <v>465</v>
      </c>
      <c r="F63" s="7" t="s">
        <v>466</v>
      </c>
      <c r="G63" s="7" t="s">
        <v>467</v>
      </c>
      <c r="H63" s="7" t="s">
        <v>468</v>
      </c>
      <c r="I63" s="9" t="s">
        <v>51</v>
      </c>
      <c r="J63" s="9" t="s">
        <v>54</v>
      </c>
      <c r="K63" s="9" t="s">
        <v>26</v>
      </c>
      <c r="L63" s="9"/>
      <c r="M63" s="9" t="s">
        <v>53</v>
      </c>
      <c r="N63" s="9" t="s">
        <v>54</v>
      </c>
      <c r="O63" s="9" t="s">
        <v>26</v>
      </c>
      <c r="P63" s="9"/>
      <c r="Q63" s="7">
        <f>IF(OR(J63="",N63=""),"",IF(J63=N63,"sí","no"))</f>
      </c>
      <c r="R63" s="7">
        <f>IF(OR(K63="",O63=""),"",IF(K63=O63,"sí","no"))</f>
      </c>
      <c r="S63" s="9"/>
      <c r="T63" s="9"/>
      <c r="U63" s="9"/>
    </row>
    <row r="64" ht="45" customHeight="1" spans="1:21" x14ac:dyDescent="0.25">
      <c r="A64" s="7" t="s">
        <v>469</v>
      </c>
      <c r="B64" s="7" t="s">
        <v>470</v>
      </c>
      <c r="C64" s="7" t="s">
        <v>471</v>
      </c>
      <c r="D64" s="8" t="s">
        <v>46</v>
      </c>
      <c r="E64" s="7" t="s">
        <v>472</v>
      </c>
      <c r="F64" s="7" t="s">
        <v>182</v>
      </c>
      <c r="G64" s="7" t="s">
        <v>473</v>
      </c>
      <c r="H64" s="7" t="s">
        <v>96</v>
      </c>
      <c r="I64" s="9" t="s">
        <v>51</v>
      </c>
      <c r="J64" s="9" t="s">
        <v>63</v>
      </c>
      <c r="K64" s="9" t="s">
        <v>64</v>
      </c>
      <c r="L64" s="9"/>
      <c r="M64" s="9" t="s">
        <v>53</v>
      </c>
      <c r="N64" s="9" t="s">
        <v>63</v>
      </c>
      <c r="O64" s="9" t="s">
        <v>64</v>
      </c>
      <c r="P64" s="9"/>
      <c r="Q64" s="7">
        <f>IF(OR(J64="",N64=""),"",IF(J64=N64,"sí","no"))</f>
      </c>
      <c r="R64" s="7">
        <f>IF(OR(K64="",O64=""),"",IF(K64=O64,"sí","no"))</f>
      </c>
      <c r="S64" s="9"/>
      <c r="T64" s="9"/>
      <c r="U64" s="9" t="s">
        <v>474</v>
      </c>
    </row>
    <row r="65" ht="45" customHeight="1" spans="1:21" x14ac:dyDescent="0.25">
      <c r="A65" s="7" t="s">
        <v>475</v>
      </c>
      <c r="B65" s="7" t="s">
        <v>476</v>
      </c>
      <c r="C65" s="7" t="s">
        <v>477</v>
      </c>
      <c r="D65" s="8" t="s">
        <v>46</v>
      </c>
      <c r="E65" s="7" t="s">
        <v>478</v>
      </c>
      <c r="F65" s="7" t="s">
        <v>81</v>
      </c>
      <c r="G65" s="7" t="s">
        <v>479</v>
      </c>
      <c r="H65" s="7" t="s">
        <v>83</v>
      </c>
      <c r="I65" s="9" t="s">
        <v>51</v>
      </c>
      <c r="J65" s="9" t="s">
        <v>52</v>
      </c>
      <c r="K65" s="9" t="s">
        <v>26</v>
      </c>
      <c r="L65" s="9"/>
      <c r="M65" s="9" t="s">
        <v>53</v>
      </c>
      <c r="N65" s="9" t="s">
        <v>52</v>
      </c>
      <c r="O65" s="9" t="s">
        <v>26</v>
      </c>
      <c r="P65" s="9"/>
      <c r="Q65" s="7">
        <f>IF(OR(J65="",N65=""),"",IF(J65=N65,"sí","no"))</f>
      </c>
      <c r="R65" s="7">
        <f>IF(OR(K65="",O65=""),"",IF(K65=O65,"sí","no"))</f>
      </c>
      <c r="S65" s="9"/>
      <c r="T65" s="9"/>
      <c r="U65" s="9"/>
    </row>
    <row r="66" ht="60" customHeight="1" spans="1:21" x14ac:dyDescent="0.25">
      <c r="A66" s="7" t="s">
        <v>480</v>
      </c>
      <c r="B66" s="7" t="s">
        <v>481</v>
      </c>
      <c r="C66" s="7" t="s">
        <v>482</v>
      </c>
      <c r="D66" s="7" t="s">
        <v>58</v>
      </c>
      <c r="E66" s="7" t="s">
        <v>483</v>
      </c>
      <c r="F66" s="7" t="s">
        <v>484</v>
      </c>
      <c r="G66" s="7" t="s">
        <v>485</v>
      </c>
      <c r="H66" s="7" t="s">
        <v>235</v>
      </c>
      <c r="I66" s="9" t="s">
        <v>51</v>
      </c>
      <c r="J66" s="9" t="s">
        <v>63</v>
      </c>
      <c r="K66" s="9" t="s">
        <v>64</v>
      </c>
      <c r="L66" s="9"/>
      <c r="M66" s="9" t="s">
        <v>53</v>
      </c>
      <c r="N66" s="9" t="s">
        <v>63</v>
      </c>
      <c r="O66" s="9" t="s">
        <v>64</v>
      </c>
      <c r="P66" s="9"/>
      <c r="Q66" s="7">
        <f>IF(OR(J66="",N66=""),"",IF(J66=N66,"sí","no"))</f>
      </c>
      <c r="R66" s="7">
        <f>IF(OR(K66="",O66=""),"",IF(K66=O66,"sí","no"))</f>
      </c>
      <c r="S66" s="9"/>
      <c r="T66" s="9"/>
      <c r="U66" s="9"/>
    </row>
    <row r="67" ht="45" customHeight="1" spans="1:21" x14ac:dyDescent="0.25">
      <c r="A67" s="7" t="s">
        <v>486</v>
      </c>
      <c r="B67" s="7" t="s">
        <v>487</v>
      </c>
      <c r="C67" s="7" t="s">
        <v>488</v>
      </c>
      <c r="D67" s="8" t="s">
        <v>46</v>
      </c>
      <c r="E67" s="7" t="s">
        <v>489</v>
      </c>
      <c r="F67" s="7" t="s">
        <v>490</v>
      </c>
      <c r="G67" s="7" t="s">
        <v>491</v>
      </c>
      <c r="H67" s="7" t="s">
        <v>492</v>
      </c>
      <c r="I67" s="9" t="s">
        <v>51</v>
      </c>
      <c r="J67" s="9" t="s">
        <v>54</v>
      </c>
      <c r="K67" s="9" t="s">
        <v>64</v>
      </c>
      <c r="L67" s="9"/>
      <c r="M67" s="9" t="s">
        <v>53</v>
      </c>
      <c r="N67" s="9" t="s">
        <v>54</v>
      </c>
      <c r="O67" s="9" t="s">
        <v>64</v>
      </c>
      <c r="P67" s="9"/>
      <c r="Q67" s="7">
        <f>IF(OR(J67="",N67=""),"",IF(J67=N67,"sí","no"))</f>
      </c>
      <c r="R67" s="7">
        <f>IF(OR(K67="",O67=""),"",IF(K67=O67,"sí","no"))</f>
      </c>
      <c r="S67" s="9"/>
      <c r="T67" s="9"/>
      <c r="U67" s="9"/>
    </row>
    <row r="68" ht="45" customHeight="1" spans="1:21" x14ac:dyDescent="0.25">
      <c r="A68" s="7" t="s">
        <v>493</v>
      </c>
      <c r="B68" s="7" t="s">
        <v>494</v>
      </c>
      <c r="C68" s="7" t="s">
        <v>495</v>
      </c>
      <c r="D68" s="7" t="s">
        <v>58</v>
      </c>
      <c r="E68" s="7" t="s">
        <v>496</v>
      </c>
      <c r="F68" s="7" t="s">
        <v>143</v>
      </c>
      <c r="G68" s="7" t="s">
        <v>497</v>
      </c>
      <c r="H68" s="7" t="s">
        <v>182</v>
      </c>
      <c r="I68" s="9" t="s">
        <v>51</v>
      </c>
      <c r="J68" s="9" t="s">
        <v>52</v>
      </c>
      <c r="K68" s="9"/>
      <c r="L68" s="9"/>
      <c r="M68" s="9" t="s">
        <v>53</v>
      </c>
      <c r="N68" s="9" t="s">
        <v>52</v>
      </c>
      <c r="O68" s="9"/>
      <c r="P68" s="9"/>
      <c r="Q68" s="7">
        <f>IF(OR(J68="",N68=""),"",IF(J68=N68,"sí","no"))</f>
      </c>
      <c r="R68" s="7">
        <f>IF(OR(K68="",O68=""),"",IF(K68=O68,"sí","no"))</f>
      </c>
      <c r="S68" s="9"/>
      <c r="T68" s="9"/>
      <c r="U68" s="9" t="s">
        <v>498</v>
      </c>
    </row>
    <row r="69" ht="60" customHeight="1" spans="1:21" x14ac:dyDescent="0.25">
      <c r="A69" s="7" t="s">
        <v>499</v>
      </c>
      <c r="B69" s="7" t="s">
        <v>500</v>
      </c>
      <c r="C69" s="7" t="s">
        <v>501</v>
      </c>
      <c r="D69" s="8" t="s">
        <v>46</v>
      </c>
      <c r="E69" s="7" t="s">
        <v>502</v>
      </c>
      <c r="F69" s="7" t="s">
        <v>110</v>
      </c>
      <c r="G69" s="7" t="s">
        <v>503</v>
      </c>
      <c r="H69" s="7" t="s">
        <v>504</v>
      </c>
      <c r="I69" s="9" t="s">
        <v>51</v>
      </c>
      <c r="J69" s="9" t="s">
        <v>52</v>
      </c>
      <c r="K69" s="9"/>
      <c r="L69" s="9"/>
      <c r="M69" s="9" t="s">
        <v>53</v>
      </c>
      <c r="N69" s="9" t="s">
        <v>25</v>
      </c>
      <c r="O69" s="9"/>
      <c r="P69" s="9" t="s">
        <v>505</v>
      </c>
      <c r="Q69" s="7">
        <f>IF(OR(J69="",N69=""),"",IF(J69=N69,"sí","no"))</f>
      </c>
      <c r="R69" s="7">
        <f>IF(OR(K69="",O69=""),"",IF(K69=O69,"sí","no"))</f>
      </c>
      <c r="S69" s="9"/>
      <c r="T69" s="9"/>
      <c r="U69" s="9" t="s">
        <v>506</v>
      </c>
    </row>
    <row r="70" ht="60" customHeight="1" spans="1:21" x14ac:dyDescent="0.25">
      <c r="A70" s="7" t="s">
        <v>507</v>
      </c>
      <c r="B70" s="7" t="s">
        <v>508</v>
      </c>
      <c r="C70" s="7" t="s">
        <v>509</v>
      </c>
      <c r="D70" s="7" t="s">
        <v>58</v>
      </c>
      <c r="E70" s="7" t="s">
        <v>510</v>
      </c>
      <c r="F70" s="7" t="s">
        <v>511</v>
      </c>
      <c r="G70" s="7" t="s">
        <v>512</v>
      </c>
      <c r="H70" s="7" t="s">
        <v>513</v>
      </c>
      <c r="I70" s="9" t="s">
        <v>51</v>
      </c>
      <c r="J70" s="9" t="s">
        <v>63</v>
      </c>
      <c r="K70" s="9" t="s">
        <v>64</v>
      </c>
      <c r="L70" s="9"/>
      <c r="M70" s="9" t="s">
        <v>53</v>
      </c>
      <c r="N70" s="9" t="s">
        <v>63</v>
      </c>
      <c r="O70" s="9" t="s">
        <v>64</v>
      </c>
      <c r="P70" s="9"/>
      <c r="Q70" s="7">
        <f>IF(OR(J70="",N70=""),"",IF(J70=N70,"sí","no"))</f>
      </c>
      <c r="R70" s="7">
        <f>IF(OR(K70="",O70=""),"",IF(K70=O70,"sí","no"))</f>
      </c>
      <c r="S70" s="9"/>
      <c r="T70" s="9"/>
      <c r="U70" s="9"/>
    </row>
    <row r="71" ht="45" customHeight="1" spans="1:21" x14ac:dyDescent="0.25">
      <c r="A71" s="7" t="s">
        <v>514</v>
      </c>
      <c r="B71" s="7" t="s">
        <v>515</v>
      </c>
      <c r="C71" s="7" t="s">
        <v>516</v>
      </c>
      <c r="D71" s="8" t="s">
        <v>46</v>
      </c>
      <c r="E71" s="7" t="s">
        <v>517</v>
      </c>
      <c r="F71" s="7" t="s">
        <v>283</v>
      </c>
      <c r="G71" s="7" t="s">
        <v>518</v>
      </c>
      <c r="H71" s="7" t="s">
        <v>519</v>
      </c>
      <c r="I71" s="9" t="s">
        <v>51</v>
      </c>
      <c r="J71" s="9" t="s">
        <v>54</v>
      </c>
      <c r="K71" s="9" t="s">
        <v>64</v>
      </c>
      <c r="L71" s="9"/>
      <c r="M71" s="9" t="s">
        <v>53</v>
      </c>
      <c r="N71" s="9" t="s">
        <v>54</v>
      </c>
      <c r="O71" s="9" t="s">
        <v>64</v>
      </c>
      <c r="P71" s="9"/>
      <c r="Q71" s="7">
        <f>IF(OR(J71="",N71=""),"",IF(J71=N71,"sí","no"))</f>
      </c>
      <c r="R71" s="7">
        <f>IF(OR(K71="",O71=""),"",IF(K71=O71,"sí","no"))</f>
      </c>
      <c r="S71" s="9"/>
      <c r="T71" s="9"/>
      <c r="U71" s="9"/>
    </row>
    <row r="72" ht="30" customHeight="1" spans="1:21" x14ac:dyDescent="0.25">
      <c r="A72" s="7" t="s">
        <v>520</v>
      </c>
      <c r="B72" s="7" t="s">
        <v>521</v>
      </c>
      <c r="C72" s="7" t="s">
        <v>522</v>
      </c>
      <c r="D72" s="7" t="s">
        <v>58</v>
      </c>
      <c r="E72" s="7" t="s">
        <v>523</v>
      </c>
      <c r="F72" s="7" t="s">
        <v>83</v>
      </c>
      <c r="G72" s="7" t="s">
        <v>524</v>
      </c>
      <c r="H72" s="7" t="s">
        <v>189</v>
      </c>
      <c r="I72" s="9" t="s">
        <v>51</v>
      </c>
      <c r="J72" s="9" t="s">
        <v>54</v>
      </c>
      <c r="K72" s="9" t="s">
        <v>64</v>
      </c>
      <c r="L72" s="9"/>
      <c r="M72" s="9" t="s">
        <v>53</v>
      </c>
      <c r="N72" s="9" t="s">
        <v>54</v>
      </c>
      <c r="O72" s="9" t="s">
        <v>64</v>
      </c>
      <c r="P72" s="9"/>
      <c r="Q72" s="7">
        <f>IF(OR(J72="",N72=""),"",IF(J72=N72,"sí","no"))</f>
      </c>
      <c r="R72" s="7">
        <f>IF(OR(K72="",O72=""),"",IF(K72=O72,"sí","no"))</f>
      </c>
      <c r="S72" s="9"/>
      <c r="T72" s="9"/>
      <c r="U72" s="9"/>
    </row>
    <row r="73" ht="45" customHeight="1" spans="1:21" x14ac:dyDescent="0.25">
      <c r="A73" s="7" t="s">
        <v>525</v>
      </c>
      <c r="B73" s="7" t="s">
        <v>526</v>
      </c>
      <c r="C73" s="7" t="s">
        <v>527</v>
      </c>
      <c r="D73" s="8" t="s">
        <v>46</v>
      </c>
      <c r="E73" s="7" t="s">
        <v>528</v>
      </c>
      <c r="F73" s="7" t="s">
        <v>529</v>
      </c>
      <c r="G73" s="7" t="s">
        <v>530</v>
      </c>
      <c r="H73" s="7" t="s">
        <v>531</v>
      </c>
      <c r="I73" s="9" t="s">
        <v>51</v>
      </c>
      <c r="J73" s="9" t="s">
        <v>63</v>
      </c>
      <c r="K73" s="9"/>
      <c r="L73" s="9"/>
      <c r="M73" s="9" t="s">
        <v>53</v>
      </c>
      <c r="N73" s="9" t="s">
        <v>52</v>
      </c>
      <c r="O73" s="9"/>
      <c r="P73" s="9"/>
      <c r="Q73" s="7">
        <f>IF(OR(J73="",N73=""),"",IF(J73=N73,"sí","no"))</f>
      </c>
      <c r="R73" s="7">
        <f>IF(OR(K73="",O73=""),"",IF(K73=O73,"sí","no"))</f>
      </c>
      <c r="S73" s="9"/>
      <c r="T73" s="9"/>
      <c r="U73" s="9" t="s">
        <v>532</v>
      </c>
    </row>
    <row r="74" ht="45" customHeight="1" spans="1:21" x14ac:dyDescent="0.25">
      <c r="A74" s="7" t="s">
        <v>533</v>
      </c>
      <c r="B74" s="7" t="s">
        <v>534</v>
      </c>
      <c r="C74" s="7" t="s">
        <v>535</v>
      </c>
      <c r="D74" s="8" t="s">
        <v>46</v>
      </c>
      <c r="E74" s="7" t="s">
        <v>536</v>
      </c>
      <c r="F74" s="7" t="s">
        <v>537</v>
      </c>
      <c r="G74" s="7" t="s">
        <v>538</v>
      </c>
      <c r="H74" s="7" t="s">
        <v>271</v>
      </c>
      <c r="I74" s="9" t="s">
        <v>51</v>
      </c>
      <c r="J74" s="9" t="s">
        <v>52</v>
      </c>
      <c r="K74" s="9" t="s">
        <v>26</v>
      </c>
      <c r="L74" s="9"/>
      <c r="M74" s="9" t="s">
        <v>53</v>
      </c>
      <c r="N74" s="9" t="s">
        <v>52</v>
      </c>
      <c r="O74" s="9" t="s">
        <v>26</v>
      </c>
      <c r="P74" s="9"/>
      <c r="Q74" s="7">
        <f>IF(OR(J74="",N74=""),"",IF(J74=N74,"sí","no"))</f>
      </c>
      <c r="R74" s="7">
        <f>IF(OR(K74="",O74=""),"",IF(K74=O74,"sí","no"))</f>
      </c>
      <c r="S74" s="9"/>
      <c r="T74" s="9"/>
      <c r="U74" s="9"/>
    </row>
    <row r="75" ht="60" customHeight="1" spans="1:21" x14ac:dyDescent="0.25">
      <c r="A75" s="7" t="s">
        <v>539</v>
      </c>
      <c r="B75" s="7" t="s">
        <v>540</v>
      </c>
      <c r="C75" s="7" t="s">
        <v>541</v>
      </c>
      <c r="D75" s="8" t="s">
        <v>46</v>
      </c>
      <c r="E75" s="7" t="s">
        <v>542</v>
      </c>
      <c r="F75" s="7" t="s">
        <v>96</v>
      </c>
      <c r="G75" s="7" t="s">
        <v>543</v>
      </c>
      <c r="H75" s="7" t="s">
        <v>215</v>
      </c>
      <c r="I75" s="9" t="s">
        <v>51</v>
      </c>
      <c r="J75" s="9" t="s">
        <v>25</v>
      </c>
      <c r="K75" s="9" t="s">
        <v>26</v>
      </c>
      <c r="L75" s="9" t="s">
        <v>544</v>
      </c>
      <c r="M75" s="9" t="s">
        <v>53</v>
      </c>
      <c r="N75" s="9" t="s">
        <v>52</v>
      </c>
      <c r="O75" s="9" t="s">
        <v>26</v>
      </c>
      <c r="P75" s="9"/>
      <c r="Q75" s="7">
        <f>IF(OR(J75="",N75=""),"",IF(J75=N75,"sí","no"))</f>
      </c>
      <c r="R75" s="7">
        <f>IF(OR(K75="",O75=""),"",IF(K75=O75,"sí","no"))</f>
      </c>
      <c r="S75" s="9"/>
      <c r="T75" s="9"/>
      <c r="U75" s="9"/>
    </row>
    <row r="76" ht="45" customHeight="1" spans="1:21" x14ac:dyDescent="0.25">
      <c r="A76" s="7" t="s">
        <v>545</v>
      </c>
      <c r="B76" s="7" t="s">
        <v>546</v>
      </c>
      <c r="C76" s="7" t="s">
        <v>547</v>
      </c>
      <c r="D76" s="8" t="s">
        <v>46</v>
      </c>
      <c r="E76" s="7" t="s">
        <v>548</v>
      </c>
      <c r="F76" s="7" t="s">
        <v>549</v>
      </c>
      <c r="G76" s="7"/>
      <c r="H76" s="7"/>
      <c r="I76" s="9" t="s">
        <v>51</v>
      </c>
      <c r="J76" s="9" t="s">
        <v>54</v>
      </c>
      <c r="K76" s="9" t="s">
        <v>26</v>
      </c>
      <c r="L76" s="9"/>
      <c r="M76" s="9" t="s">
        <v>53</v>
      </c>
      <c r="N76" s="9" t="s">
        <v>54</v>
      </c>
      <c r="O76" s="9" t="s">
        <v>26</v>
      </c>
      <c r="P76" s="9"/>
      <c r="Q76" s="7">
        <f>IF(OR(J76="",N76=""),"",IF(J76=N76,"sí","no"))</f>
      </c>
      <c r="R76" s="7">
        <f>IF(OR(K76="",O76=""),"",IF(K76=O76,"sí","no"))</f>
      </c>
      <c r="S76" s="9"/>
      <c r="T76" s="9"/>
      <c r="U76" s="9"/>
    </row>
    <row r="77" ht="45" customHeight="1" spans="1:21" x14ac:dyDescent="0.25">
      <c r="A77" s="7" t="s">
        <v>550</v>
      </c>
      <c r="B77" s="7" t="s">
        <v>551</v>
      </c>
      <c r="C77" s="7" t="s">
        <v>552</v>
      </c>
      <c r="D77" s="8" t="s">
        <v>46</v>
      </c>
      <c r="E77" s="7" t="s">
        <v>553</v>
      </c>
      <c r="F77" s="7" t="s">
        <v>276</v>
      </c>
      <c r="G77" s="7" t="s">
        <v>554</v>
      </c>
      <c r="H77" s="7" t="s">
        <v>555</v>
      </c>
      <c r="I77" s="9" t="s">
        <v>51</v>
      </c>
      <c r="J77" s="9" t="s">
        <v>25</v>
      </c>
      <c r="K77" s="9"/>
      <c r="L77" s="9" t="s">
        <v>556</v>
      </c>
      <c r="M77" s="9" t="s">
        <v>53</v>
      </c>
      <c r="N77" s="9" t="s">
        <v>25</v>
      </c>
      <c r="O77" s="9"/>
      <c r="P77" s="9" t="s">
        <v>557</v>
      </c>
      <c r="Q77" s="7">
        <f>IF(OR(J77="",N77=""),"",IF(J77=N77,"sí","no"))</f>
      </c>
      <c r="R77" s="7">
        <f>IF(OR(K77="",O77=""),"",IF(K77=O77,"sí","no"))</f>
      </c>
      <c r="S77" s="9"/>
      <c r="T77" s="9"/>
      <c r="U77" s="9" t="s">
        <v>558</v>
      </c>
    </row>
    <row r="78" ht="45" customHeight="1" spans="1:21" x14ac:dyDescent="0.25">
      <c r="A78" s="7" t="s">
        <v>559</v>
      </c>
      <c r="B78" s="7" t="s">
        <v>560</v>
      </c>
      <c r="C78" s="7" t="s">
        <v>561</v>
      </c>
      <c r="D78" s="8" t="s">
        <v>46</v>
      </c>
      <c r="E78" s="7" t="s">
        <v>562</v>
      </c>
      <c r="F78" s="7" t="s">
        <v>81</v>
      </c>
      <c r="G78" s="7" t="s">
        <v>563</v>
      </c>
      <c r="H78" s="7" t="s">
        <v>564</v>
      </c>
      <c r="I78" s="9" t="s">
        <v>51</v>
      </c>
      <c r="J78" s="9" t="s">
        <v>52</v>
      </c>
      <c r="K78" s="9" t="s">
        <v>26</v>
      </c>
      <c r="L78" s="9"/>
      <c r="M78" s="9" t="s">
        <v>53</v>
      </c>
      <c r="N78" s="9" t="s">
        <v>52</v>
      </c>
      <c r="O78" s="9" t="s">
        <v>26</v>
      </c>
      <c r="P78" s="9"/>
      <c r="Q78" s="7">
        <f>IF(OR(J78="",N78=""),"",IF(J78=N78,"sí","no"))</f>
      </c>
      <c r="R78" s="7">
        <f>IF(OR(K78="",O78=""),"",IF(K78=O78,"sí","no"))</f>
      </c>
      <c r="S78" s="9"/>
      <c r="T78" s="9"/>
      <c r="U78" s="9"/>
    </row>
    <row r="79" ht="60" customHeight="1" spans="1:21" x14ac:dyDescent="0.25">
      <c r="A79" s="7" t="s">
        <v>565</v>
      </c>
      <c r="B79" s="7" t="s">
        <v>566</v>
      </c>
      <c r="C79" s="7" t="s">
        <v>567</v>
      </c>
      <c r="D79" s="7" t="s">
        <v>58</v>
      </c>
      <c r="E79" s="7" t="s">
        <v>568</v>
      </c>
      <c r="F79" s="7" t="s">
        <v>569</v>
      </c>
      <c r="G79" s="7" t="s">
        <v>570</v>
      </c>
      <c r="H79" s="7" t="s">
        <v>571</v>
      </c>
      <c r="I79" s="9" t="s">
        <v>51</v>
      </c>
      <c r="J79" s="9" t="s">
        <v>63</v>
      </c>
      <c r="K79" s="9" t="s">
        <v>64</v>
      </c>
      <c r="L79" s="9"/>
      <c r="M79" s="9" t="s">
        <v>53</v>
      </c>
      <c r="N79" s="9" t="s">
        <v>63</v>
      </c>
      <c r="O79" s="9" t="s">
        <v>64</v>
      </c>
      <c r="P79" s="9"/>
      <c r="Q79" s="7">
        <f>IF(OR(J79="",N79=""),"",IF(J79=N79,"sí","no"))</f>
      </c>
      <c r="R79" s="7">
        <f>IF(OR(K79="",O79=""),"",IF(K79=O79,"sí","no"))</f>
      </c>
      <c r="S79" s="9"/>
      <c r="T79" s="9"/>
      <c r="U79" s="9"/>
    </row>
    <row r="80" ht="45" customHeight="1" spans="1:21" x14ac:dyDescent="0.25">
      <c r="A80" s="7" t="s">
        <v>572</v>
      </c>
      <c r="B80" s="7" t="s">
        <v>573</v>
      </c>
      <c r="C80" s="7" t="s">
        <v>574</v>
      </c>
      <c r="D80" s="8" t="s">
        <v>46</v>
      </c>
      <c r="E80" s="7" t="s">
        <v>575</v>
      </c>
      <c r="F80" s="7" t="s">
        <v>375</v>
      </c>
      <c r="G80" s="7" t="s">
        <v>576</v>
      </c>
      <c r="H80" s="7" t="s">
        <v>91</v>
      </c>
      <c r="I80" s="9" t="s">
        <v>51</v>
      </c>
      <c r="J80" s="9" t="s">
        <v>52</v>
      </c>
      <c r="K80" s="9" t="s">
        <v>26</v>
      </c>
      <c r="L80" s="9"/>
      <c r="M80" s="9" t="s">
        <v>53</v>
      </c>
      <c r="N80" s="9" t="s">
        <v>52</v>
      </c>
      <c r="O80" s="9" t="s">
        <v>26</v>
      </c>
      <c r="P80" s="9"/>
      <c r="Q80" s="7">
        <f>IF(OR(J80="",N80=""),"",IF(J80=N80,"sí","no"))</f>
      </c>
      <c r="R80" s="7">
        <f>IF(OR(K80="",O80=""),"",IF(K80=O80,"sí","no"))</f>
      </c>
      <c r="S80" s="9"/>
      <c r="T80" s="9"/>
      <c r="U80" s="9"/>
    </row>
    <row r="81" ht="30" customHeight="1" spans="1:21" x14ac:dyDescent="0.25">
      <c r="A81" s="7" t="s">
        <v>577</v>
      </c>
      <c r="B81" s="7" t="s">
        <v>578</v>
      </c>
      <c r="C81" s="7" t="s">
        <v>579</v>
      </c>
      <c r="D81" s="8" t="s">
        <v>46</v>
      </c>
      <c r="E81" s="7" t="s">
        <v>580</v>
      </c>
      <c r="F81" s="7" t="s">
        <v>83</v>
      </c>
      <c r="G81" s="7" t="s">
        <v>581</v>
      </c>
      <c r="H81" s="7" t="s">
        <v>50</v>
      </c>
      <c r="I81" s="9" t="s">
        <v>51</v>
      </c>
      <c r="J81" s="9" t="s">
        <v>52</v>
      </c>
      <c r="K81" s="9"/>
      <c r="L81" s="9"/>
      <c r="M81" s="9" t="s">
        <v>53</v>
      </c>
      <c r="N81" s="9" t="s">
        <v>52</v>
      </c>
      <c r="O81" s="9"/>
      <c r="P81" s="9"/>
      <c r="Q81" s="7">
        <f>IF(OR(J81="",N81=""),"",IF(J81=N81,"sí","no"))</f>
      </c>
      <c r="R81" s="7">
        <f>IF(OR(K81="",O81=""),"",IF(K81=O81,"sí","no"))</f>
      </c>
      <c r="S81" s="9"/>
      <c r="T81" s="9"/>
      <c r="U81" s="9" t="s">
        <v>582</v>
      </c>
    </row>
    <row r="82" ht="45" customHeight="1" spans="1:21" x14ac:dyDescent="0.25">
      <c r="A82" s="7" t="s">
        <v>583</v>
      </c>
      <c r="B82" s="7" t="s">
        <v>584</v>
      </c>
      <c r="C82" s="7" t="s">
        <v>585</v>
      </c>
      <c r="D82" s="7" t="s">
        <v>58</v>
      </c>
      <c r="E82" s="7" t="s">
        <v>586</v>
      </c>
      <c r="F82" s="7" t="s">
        <v>587</v>
      </c>
      <c r="G82" s="7" t="s">
        <v>588</v>
      </c>
      <c r="H82" s="7" t="s">
        <v>165</v>
      </c>
      <c r="I82" s="9" t="s">
        <v>51</v>
      </c>
      <c r="J82" s="9" t="s">
        <v>52</v>
      </c>
      <c r="K82" s="9" t="s">
        <v>26</v>
      </c>
      <c r="L82" s="9"/>
      <c r="M82" s="9" t="s">
        <v>53</v>
      </c>
      <c r="N82" s="9" t="s">
        <v>52</v>
      </c>
      <c r="O82" s="9" t="s">
        <v>26</v>
      </c>
      <c r="P82" s="9"/>
      <c r="Q82" s="7">
        <f>IF(OR(J82="",N82=""),"",IF(J82=N82,"sí","no"))</f>
      </c>
      <c r="R82" s="7">
        <f>IF(OR(K82="",O82=""),"",IF(K82=O82,"sí","no"))</f>
      </c>
      <c r="S82" s="9"/>
      <c r="T82" s="9"/>
      <c r="U82" s="9"/>
    </row>
    <row r="83" ht="45" customHeight="1" spans="1:21" x14ac:dyDescent="0.25">
      <c r="A83" s="7" t="s">
        <v>589</v>
      </c>
      <c r="B83" s="7" t="s">
        <v>590</v>
      </c>
      <c r="C83" s="7" t="s">
        <v>591</v>
      </c>
      <c r="D83" s="7" t="s">
        <v>58</v>
      </c>
      <c r="E83" s="7" t="s">
        <v>592</v>
      </c>
      <c r="F83" s="7" t="s">
        <v>338</v>
      </c>
      <c r="G83" s="7" t="s">
        <v>97</v>
      </c>
      <c r="H83" s="7" t="s">
        <v>98</v>
      </c>
      <c r="I83" s="9" t="s">
        <v>51</v>
      </c>
      <c r="J83" s="9" t="s">
        <v>52</v>
      </c>
      <c r="K83" s="9" t="s">
        <v>64</v>
      </c>
      <c r="L83" s="9"/>
      <c r="M83" s="9" t="s">
        <v>53</v>
      </c>
      <c r="N83" s="9" t="s">
        <v>52</v>
      </c>
      <c r="O83" s="9" t="s">
        <v>64</v>
      </c>
      <c r="P83" s="9"/>
      <c r="Q83" s="7">
        <f>IF(OR(J83="",N83=""),"",IF(J83=N83,"sí","no"))</f>
      </c>
      <c r="R83" s="7">
        <f>IF(OR(K83="",O83=""),"",IF(K83=O83,"sí","no"))</f>
      </c>
      <c r="S83" s="9"/>
      <c r="T83" s="9"/>
      <c r="U83" s="9"/>
    </row>
    <row r="84" ht="45" customHeight="1" spans="1:21" x14ac:dyDescent="0.25">
      <c r="A84" s="7" t="s">
        <v>593</v>
      </c>
      <c r="B84" s="7" t="s">
        <v>594</v>
      </c>
      <c r="C84" s="7" t="s">
        <v>595</v>
      </c>
      <c r="D84" s="8" t="s">
        <v>46</v>
      </c>
      <c r="E84" s="7" t="s">
        <v>596</v>
      </c>
      <c r="F84" s="7" t="s">
        <v>597</v>
      </c>
      <c r="G84" s="7" t="s">
        <v>598</v>
      </c>
      <c r="H84" s="7" t="s">
        <v>599</v>
      </c>
      <c r="I84" s="9" t="s">
        <v>51</v>
      </c>
      <c r="J84" s="9" t="s">
        <v>54</v>
      </c>
      <c r="K84" s="9" t="s">
        <v>64</v>
      </c>
      <c r="L84" s="9"/>
      <c r="M84" s="9" t="s">
        <v>53</v>
      </c>
      <c r="N84" s="9" t="s">
        <v>54</v>
      </c>
      <c r="O84" s="9" t="s">
        <v>64</v>
      </c>
      <c r="P84" s="9"/>
      <c r="Q84" s="7">
        <f>IF(OR(J84="",N84=""),"",IF(J84=N84,"sí","no"))</f>
      </c>
      <c r="R84" s="7">
        <f>IF(OR(K84="",O84=""),"",IF(K84=O84,"sí","no"))</f>
      </c>
      <c r="S84" s="9"/>
      <c r="T84" s="9"/>
      <c r="U84" s="9"/>
    </row>
    <row r="85" ht="30" customHeight="1" spans="1:21" x14ac:dyDescent="0.25">
      <c r="A85" s="7" t="s">
        <v>600</v>
      </c>
      <c r="B85" s="7" t="s">
        <v>601</v>
      </c>
      <c r="C85" s="7" t="s">
        <v>602</v>
      </c>
      <c r="D85" s="8" t="s">
        <v>46</v>
      </c>
      <c r="E85" s="7" t="s">
        <v>603</v>
      </c>
      <c r="F85" s="7" t="s">
        <v>167</v>
      </c>
      <c r="G85" s="7" t="s">
        <v>604</v>
      </c>
      <c r="H85" s="7" t="s">
        <v>375</v>
      </c>
      <c r="I85" s="9" t="s">
        <v>51</v>
      </c>
      <c r="J85" s="9" t="s">
        <v>52</v>
      </c>
      <c r="K85" s="9"/>
      <c r="L85" s="9"/>
      <c r="M85" s="9" t="s">
        <v>53</v>
      </c>
      <c r="N85" s="9" t="s">
        <v>52</v>
      </c>
      <c r="O85" s="9"/>
      <c r="P85" s="9"/>
      <c r="Q85" s="7">
        <f>IF(OR(J85="",N85=""),"",IF(J85=N85,"sí","no"))</f>
      </c>
      <c r="R85" s="7">
        <f>IF(OR(K85="",O85=""),"",IF(K85=O85,"sí","no"))</f>
      </c>
      <c r="S85" s="9"/>
      <c r="T85" s="9"/>
      <c r="U85" s="9" t="s">
        <v>605</v>
      </c>
    </row>
    <row r="86" ht="60" customHeight="1" spans="1:21" x14ac:dyDescent="0.25">
      <c r="A86" s="7" t="s">
        <v>606</v>
      </c>
      <c r="B86" s="7" t="s">
        <v>607</v>
      </c>
      <c r="C86" s="7" t="s">
        <v>608</v>
      </c>
      <c r="D86" s="7" t="s">
        <v>58</v>
      </c>
      <c r="E86" s="7" t="s">
        <v>609</v>
      </c>
      <c r="F86" s="7" t="s">
        <v>484</v>
      </c>
      <c r="G86" s="7" t="s">
        <v>610</v>
      </c>
      <c r="H86" s="7" t="s">
        <v>96</v>
      </c>
      <c r="I86" s="9" t="s">
        <v>51</v>
      </c>
      <c r="J86" s="9" t="s">
        <v>63</v>
      </c>
      <c r="K86" s="9" t="s">
        <v>64</v>
      </c>
      <c r="L86" s="9"/>
      <c r="M86" s="9" t="s">
        <v>53</v>
      </c>
      <c r="N86" s="9" t="s">
        <v>63</v>
      </c>
      <c r="O86" s="9" t="s">
        <v>64</v>
      </c>
      <c r="P86" s="9"/>
      <c r="Q86" s="7">
        <f>IF(OR(J86="",N86=""),"",IF(J86=N86,"sí","no"))</f>
      </c>
      <c r="R86" s="7">
        <f>IF(OR(K86="",O86=""),"",IF(K86=O86,"sí","no"))</f>
      </c>
      <c r="S86" s="9"/>
      <c r="T86" s="9"/>
      <c r="U86" s="9"/>
    </row>
    <row r="87" ht="45" customHeight="1" spans="1:21" x14ac:dyDescent="0.25">
      <c r="A87" s="7" t="s">
        <v>611</v>
      </c>
      <c r="B87" s="7" t="s">
        <v>612</v>
      </c>
      <c r="C87" s="7" t="s">
        <v>613</v>
      </c>
      <c r="D87" s="8" t="s">
        <v>46</v>
      </c>
      <c r="E87" s="7" t="s">
        <v>496</v>
      </c>
      <c r="F87" s="7" t="s">
        <v>143</v>
      </c>
      <c r="G87" s="7" t="s">
        <v>614</v>
      </c>
      <c r="H87" s="7" t="s">
        <v>48</v>
      </c>
      <c r="I87" s="9" t="s">
        <v>51</v>
      </c>
      <c r="J87" s="9" t="s">
        <v>52</v>
      </c>
      <c r="K87" s="9" t="s">
        <v>64</v>
      </c>
      <c r="L87" s="9"/>
      <c r="M87" s="9" t="s">
        <v>53</v>
      </c>
      <c r="N87" s="9" t="s">
        <v>25</v>
      </c>
      <c r="O87" s="9" t="s">
        <v>64</v>
      </c>
      <c r="P87" s="9" t="s">
        <v>615</v>
      </c>
      <c r="Q87" s="7">
        <f>IF(OR(J87="",N87=""),"",IF(J87=N87,"sí","no"))</f>
      </c>
      <c r="R87" s="7">
        <f>IF(OR(K87="",O87=""),"",IF(K87=O87,"sí","no"))</f>
      </c>
      <c r="S87" s="9"/>
      <c r="T87" s="9"/>
      <c r="U87" s="9"/>
    </row>
    <row r="88" ht="60" customHeight="1" spans="1:21" x14ac:dyDescent="0.25">
      <c r="A88" s="7" t="s">
        <v>616</v>
      </c>
      <c r="B88" s="7" t="s">
        <v>617</v>
      </c>
      <c r="C88" s="7" t="s">
        <v>618</v>
      </c>
      <c r="D88" s="7" t="s">
        <v>58</v>
      </c>
      <c r="E88" s="7" t="s">
        <v>619</v>
      </c>
      <c r="F88" s="7" t="s">
        <v>165</v>
      </c>
      <c r="G88" s="7" t="s">
        <v>620</v>
      </c>
      <c r="H88" s="7" t="s">
        <v>357</v>
      </c>
      <c r="I88" s="9" t="s">
        <v>51</v>
      </c>
      <c r="J88" s="9" t="s">
        <v>54</v>
      </c>
      <c r="K88" s="9" t="s">
        <v>64</v>
      </c>
      <c r="L88" s="9"/>
      <c r="M88" s="9" t="s">
        <v>53</v>
      </c>
      <c r="N88" s="9" t="s">
        <v>54</v>
      </c>
      <c r="O88" s="9" t="s">
        <v>64</v>
      </c>
      <c r="P88" s="9"/>
      <c r="Q88" s="7">
        <f>IF(OR(J88="",N88=""),"",IF(J88=N88,"sí","no"))</f>
      </c>
      <c r="R88" s="7">
        <f>IF(OR(K88="",O88=""),"",IF(K88=O88,"sí","no"))</f>
      </c>
      <c r="S88" s="9"/>
      <c r="T88" s="9"/>
      <c r="U88" s="9"/>
    </row>
    <row r="89" ht="45" customHeight="1" spans="1:21" x14ac:dyDescent="0.25">
      <c r="A89" s="7" t="s">
        <v>621</v>
      </c>
      <c r="B89" s="7" t="s">
        <v>622</v>
      </c>
      <c r="C89" s="7" t="s">
        <v>623</v>
      </c>
      <c r="D89" s="8" t="s">
        <v>46</v>
      </c>
      <c r="E89" s="7" t="s">
        <v>624</v>
      </c>
      <c r="F89" s="7" t="s">
        <v>375</v>
      </c>
      <c r="G89" s="7" t="s">
        <v>625</v>
      </c>
      <c r="H89" s="7" t="s">
        <v>91</v>
      </c>
      <c r="I89" s="9" t="s">
        <v>51</v>
      </c>
      <c r="J89" s="9" t="s">
        <v>52</v>
      </c>
      <c r="K89" s="9" t="s">
        <v>64</v>
      </c>
      <c r="L89" s="9"/>
      <c r="M89" s="9" t="s">
        <v>53</v>
      </c>
      <c r="N89" s="9" t="s">
        <v>52</v>
      </c>
      <c r="O89" s="9" t="s">
        <v>64</v>
      </c>
      <c r="P89" s="9"/>
      <c r="Q89" s="7">
        <f>IF(OR(J89="",N89=""),"",IF(J89=N89,"sí","no"))</f>
      </c>
      <c r="R89" s="7">
        <f>IF(OR(K89="",O89=""),"",IF(K89=O89,"sí","no"))</f>
      </c>
      <c r="S89" s="9"/>
      <c r="T89" s="9"/>
      <c r="U89" s="9"/>
    </row>
    <row r="90" ht="60" customHeight="1" spans="1:21" x14ac:dyDescent="0.25">
      <c r="A90" s="7" t="s">
        <v>626</v>
      </c>
      <c r="B90" s="7" t="s">
        <v>627</v>
      </c>
      <c r="C90" s="7" t="s">
        <v>628</v>
      </c>
      <c r="D90" s="8" t="s">
        <v>46</v>
      </c>
      <c r="E90" s="7" t="s">
        <v>629</v>
      </c>
      <c r="F90" s="7" t="s">
        <v>276</v>
      </c>
      <c r="G90" s="7" t="s">
        <v>630</v>
      </c>
      <c r="H90" s="7" t="s">
        <v>631</v>
      </c>
      <c r="I90" s="9" t="s">
        <v>51</v>
      </c>
      <c r="J90" s="9" t="s">
        <v>52</v>
      </c>
      <c r="K90" s="9" t="s">
        <v>26</v>
      </c>
      <c r="L90" s="9"/>
      <c r="M90" s="9" t="s">
        <v>53</v>
      </c>
      <c r="N90" s="9" t="s">
        <v>52</v>
      </c>
      <c r="O90" s="9" t="s">
        <v>26</v>
      </c>
      <c r="P90" s="9"/>
      <c r="Q90" s="7">
        <f>IF(OR(J90="",N90=""),"",IF(J90=N90,"sí","no"))</f>
      </c>
      <c r="R90" s="7">
        <f>IF(OR(K90="",O90=""),"",IF(K90=O90,"sí","no"))</f>
      </c>
      <c r="S90" s="9"/>
      <c r="T90" s="9"/>
      <c r="U90" s="9"/>
    </row>
    <row r="91" ht="60" customHeight="1" spans="1:21" x14ac:dyDescent="0.25">
      <c r="A91" s="7" t="s">
        <v>632</v>
      </c>
      <c r="B91" s="7" t="s">
        <v>633</v>
      </c>
      <c r="C91" s="7" t="s">
        <v>634</v>
      </c>
      <c r="D91" s="7" t="s">
        <v>58</v>
      </c>
      <c r="E91" s="7" t="s">
        <v>635</v>
      </c>
      <c r="F91" s="7" t="s">
        <v>636</v>
      </c>
      <c r="G91" s="7" t="s">
        <v>637</v>
      </c>
      <c r="H91" s="7" t="s">
        <v>103</v>
      </c>
      <c r="I91" s="9" t="s">
        <v>51</v>
      </c>
      <c r="J91" s="9" t="s">
        <v>52</v>
      </c>
      <c r="K91" s="9"/>
      <c r="L91" s="9"/>
      <c r="M91" s="9" t="s">
        <v>53</v>
      </c>
      <c r="N91" s="9" t="s">
        <v>52</v>
      </c>
      <c r="O91" s="9"/>
      <c r="P91" s="9"/>
      <c r="Q91" s="7">
        <f>IF(OR(J91="",N91=""),"",IF(J91=N91,"sí","no"))</f>
      </c>
      <c r="R91" s="7">
        <f>IF(OR(K91="",O91=""),"",IF(K91=O91,"sí","no"))</f>
      </c>
      <c r="S91" s="9"/>
      <c r="T91" s="9"/>
      <c r="U91" s="9" t="s">
        <v>638</v>
      </c>
    </row>
  </sheetData>
  <autoFilter ref="A1:U91"/>
  <dataValidations count="36">
    <dataValidation type="list" allowBlank="1" sqref="J2:J91">
      <formula1>"falso_amigo,polisemico_interno,lunfardo_sin_homonimo,espanol_general"</formula1>
    </dataValidation>
    <dataValidation type="list" allowBlank="1" sqref="K19">
      <formula1>"A"</formula1>
    </dataValidation>
    <dataValidation type="list" allowBlank="1" sqref="K20:K26">
      <formula1>"A,B"</formula1>
    </dataValidation>
    <dataValidation type="list" allowBlank="1" sqref="K27">
      <formula1>"A"</formula1>
    </dataValidation>
    <dataValidation type="list" allowBlank="1" sqref="K28:K47">
      <formula1>"A,B"</formula1>
    </dataValidation>
    <dataValidation type="list" allowBlank="1" sqref="K2:K3">
      <formula1>"A,B"</formula1>
    </dataValidation>
    <dataValidation type="list" allowBlank="1" sqref="K4">
      <formula1>"A"</formula1>
    </dataValidation>
    <dataValidation type="list" allowBlank="1" sqref="K48">
      <formula1>"A"</formula1>
    </dataValidation>
    <dataValidation type="list" allowBlank="1" sqref="K49:K75">
      <formula1>"A,B"</formula1>
    </dataValidation>
    <dataValidation type="list" allowBlank="1" sqref="K5:K18">
      <formula1>"A,B"</formula1>
    </dataValidation>
    <dataValidation type="list" allowBlank="1" sqref="K76">
      <formula1>"A"</formula1>
    </dataValidation>
    <dataValidation type="list" allowBlank="1" sqref="K77:K91">
      <formula1>"A,B"</formula1>
    </dataValidation>
    <dataValidation type="list" allowBlank="1" sqref="N2:N91">
      <formula1>"falso_amigo,polisemico_interno,lunfardo_sin_homonimo,espanol_general"</formula1>
    </dataValidation>
    <dataValidation type="list" allowBlank="1" sqref="O19">
      <formula1>"A"</formula1>
    </dataValidation>
    <dataValidation type="list" allowBlank="1" sqref="O20:O26">
      <formula1>"A,B"</formula1>
    </dataValidation>
    <dataValidation type="list" allowBlank="1" sqref="O27">
      <formula1>"A"</formula1>
    </dataValidation>
    <dataValidation type="list" allowBlank="1" sqref="O28:O47">
      <formula1>"A,B"</formula1>
    </dataValidation>
    <dataValidation type="list" allowBlank="1" sqref="O2:O3">
      <formula1>"A,B"</formula1>
    </dataValidation>
    <dataValidation type="list" allowBlank="1" sqref="O4">
      <formula1>"A"</formula1>
    </dataValidation>
    <dataValidation type="list" allowBlank="1" sqref="O48">
      <formula1>"A"</formula1>
    </dataValidation>
    <dataValidation type="list" allowBlank="1" sqref="O49:O75">
      <formula1>"A,B"</formula1>
    </dataValidation>
    <dataValidation type="list" allowBlank="1" sqref="O5:O18">
      <formula1>"A,B"</formula1>
    </dataValidation>
    <dataValidation type="list" allowBlank="1" sqref="O76">
      <formula1>"A"</formula1>
    </dataValidation>
    <dataValidation type="list" allowBlank="1" sqref="O77:O91">
      <formula1>"A,B"</formula1>
    </dataValidation>
    <dataValidation type="list" allowBlank="1" sqref="S2:S91">
      <formula1>"falso_amigo,polisemico_interno,lunfardo_sin_homonimo,espanol_general"</formula1>
    </dataValidation>
    <dataValidation type="list" allowBlank="1" sqref="T19">
      <formula1>"A"</formula1>
    </dataValidation>
    <dataValidation type="list" allowBlank="1" sqref="T20:T26">
      <formula1>"A,B"</formula1>
    </dataValidation>
    <dataValidation type="list" allowBlank="1" sqref="T27">
      <formula1>"A"</formula1>
    </dataValidation>
    <dataValidation type="list" allowBlank="1" sqref="T28:T47">
      <formula1>"A,B"</formula1>
    </dataValidation>
    <dataValidation type="list" allowBlank="1" sqref="T2:T3">
      <formula1>"A,B"</formula1>
    </dataValidation>
    <dataValidation type="list" allowBlank="1" sqref="T4">
      <formula1>"A"</formula1>
    </dataValidation>
    <dataValidation type="list" allowBlank="1" sqref="T48">
      <formula1>"A"</formula1>
    </dataValidation>
    <dataValidation type="list" allowBlank="1" sqref="T49:T75">
      <formula1>"A,B"</formula1>
    </dataValidation>
    <dataValidation type="list" allowBlank="1" sqref="T5:T18">
      <formula1>"A,B"</formula1>
    </dataValidation>
    <dataValidation type="list" allowBlank="1" sqref="T76">
      <formula1>"A"</formula1>
    </dataValidation>
    <dataValidation type="list" allowBlank="1" sqref="T77:T91">
      <formula1>"A,B"</formula1>
    </dataValidation>
  </dataValidations>
  <hyperlinks>
    <hyperlink ref="D2" r:id="rId1"/>
    <hyperlink ref="D4" r:id="rId2"/>
    <hyperlink ref="D6" r:id="rId3"/>
    <hyperlink ref="D7" r:id="rId4"/>
    <hyperlink ref="D9" r:id="rId5"/>
    <hyperlink ref="D10" r:id="rId6"/>
    <hyperlink ref="D11" r:id="rId7"/>
    <hyperlink ref="D12" r:id="rId8"/>
    <hyperlink ref="D13" r:id="rId9"/>
    <hyperlink ref="D14" r:id="rId10"/>
    <hyperlink ref="D15" r:id="rId11"/>
    <hyperlink ref="D16" r:id="rId12"/>
    <hyperlink ref="D18" r:id="rId13"/>
    <hyperlink ref="D22" r:id="rId14"/>
    <hyperlink ref="D23" r:id="rId15"/>
    <hyperlink ref="D24" r:id="rId16"/>
    <hyperlink ref="D25" r:id="rId17"/>
    <hyperlink ref="D26" r:id="rId18"/>
    <hyperlink ref="D29" r:id="rId19"/>
    <hyperlink ref="D32" r:id="rId20"/>
    <hyperlink ref="D34" r:id="rId21"/>
    <hyperlink ref="D36" r:id="rId22"/>
    <hyperlink ref="D37" r:id="rId23"/>
    <hyperlink ref="D40" r:id="rId24"/>
    <hyperlink ref="D41" r:id="rId25"/>
    <hyperlink ref="D42" r:id="rId26"/>
    <hyperlink ref="D45" r:id="rId27"/>
    <hyperlink ref="D46" r:id="rId28"/>
    <hyperlink ref="D47" r:id="rId29"/>
    <hyperlink ref="D48" r:id="rId30"/>
    <hyperlink ref="D49" r:id="rId31"/>
    <hyperlink ref="D50" r:id="rId32"/>
    <hyperlink ref="D53" r:id="rId33"/>
    <hyperlink ref="D57" r:id="rId34"/>
    <hyperlink ref="D58" r:id="rId35"/>
    <hyperlink ref="D59" r:id="rId36"/>
    <hyperlink ref="D60" r:id="rId37"/>
    <hyperlink ref="D63" r:id="rId38"/>
    <hyperlink ref="D64" r:id="rId39"/>
    <hyperlink ref="D65" r:id="rId40"/>
    <hyperlink ref="D67" r:id="rId41"/>
    <hyperlink ref="D69" r:id="rId42"/>
    <hyperlink ref="D71" r:id="rId43"/>
    <hyperlink ref="D73" r:id="rId44"/>
    <hyperlink ref="D74" r:id="rId45"/>
    <hyperlink ref="D75" r:id="rId46"/>
    <hyperlink ref="D76" r:id="rId47"/>
    <hyperlink ref="D77" r:id="rId48"/>
    <hyperlink ref="D78" r:id="rId49"/>
    <hyperlink ref="D80" r:id="rId50"/>
    <hyperlink ref="D81" r:id="rId51"/>
    <hyperlink ref="D84" r:id="rId52"/>
    <hyperlink ref="D85" r:id="rId53"/>
    <hyperlink ref="D87" r:id="rId54"/>
    <hyperlink ref="D89" r:id="rId55"/>
    <hyperlink ref="D90" r:id="rId5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4" customWidth="1"/>
    <col min="2" max="2" width="14" customWidth="1"/>
    <col min="3" max="24" width="13.571428571428571" customWidth="1"/>
  </cols>
  <sheetData>
    <row r="1" spans="1:1" x14ac:dyDescent="0.25">
      <c r="A1" s="4" t="s">
        <v>639</v>
      </c>
    </row>
    <row r="2" spans="1:2" x14ac:dyDescent="0.25">
      <c r="A2" s="5" t="s">
        <v>640</v>
      </c>
      <c r="B2" s="5">
        <f>COUNTIF('Anotación'!$A$2:$A$91,"?*")</f>
      </c>
    </row>
    <row r="3" spans="1:2" x14ac:dyDescent="0.25">
      <c r="A3" s="5" t="s">
        <v>641</v>
      </c>
      <c r="B3" s="5">
        <f>COUNTIF('Anotación'!$J$2:$J$91,"?*")</f>
      </c>
    </row>
    <row r="4" spans="1:2" x14ac:dyDescent="0.25">
      <c r="A4" s="5" t="s">
        <v>642</v>
      </c>
      <c r="B4" s="5">
        <f>COUNTIF('Anotación'!$N$2:$N$91,"?*")</f>
      </c>
    </row>
    <row r="5" spans="1:2" x14ac:dyDescent="0.25">
      <c r="A5" s="5" t="s">
        <v>643</v>
      </c>
      <c r="B5" s="5">
        <f>COUNTIF('Anotación'!$S$2:$S$91,"?*")</f>
      </c>
    </row>
    <row r="6" spans="1:2" x14ac:dyDescent="0.25">
      <c r="A6" s="5" t="s">
        <v>644</v>
      </c>
      <c r="B6" s="10">
        <f>IFERROR(COUNTIF('Anotación'!$Q$2:$Q$91,"sí")/(COUNTIF('Anotación'!$Q$2:$Q$91,"sí")+COUNTIF('Anotación'!$Q$2:$Q$91,"no")),"")</f>
      </c>
    </row>
    <row r="7" spans="1:2" x14ac:dyDescent="0.25">
      <c r="A7" s="5" t="s">
        <v>645</v>
      </c>
      <c r="B7" s="10">
        <f>IFERROR(COUNTIF('Anotación'!$R$2:$R$91,"sí")/(COUNTIF('Anotación'!$R$2:$R$91,"sí")+COUNTIF('Anotación'!$R$2:$R$91,"no")),"")</f>
      </c>
    </row>
    <row r="9" spans="1:2" x14ac:dyDescent="0.25">
      <c r="A9" s="4" t="s">
        <v>646</v>
      </c>
      <c r="B9" s="4" t="s">
        <v>640</v>
      </c>
    </row>
    <row r="10" spans="1:2" x14ac:dyDescent="0.25">
      <c r="A10" s="5" t="s">
        <v>25</v>
      </c>
      <c r="B10" s="5">
        <f>COUNTIF('Anotación'!$S$2:$S$91,"falso_amigo")</f>
      </c>
    </row>
    <row r="11" spans="1:2" x14ac:dyDescent="0.25">
      <c r="A11" s="5" t="s">
        <v>52</v>
      </c>
      <c r="B11" s="5">
        <f>COUNTIF('Anotación'!$S$2:$S$91,"polisemico_interno")</f>
      </c>
    </row>
    <row r="12" spans="1:2" x14ac:dyDescent="0.25">
      <c r="A12" s="5" t="s">
        <v>54</v>
      </c>
      <c r="B12" s="5">
        <f>COUNTIF('Anotación'!$S$2:$S$91,"lunfardo_sin_homonimo")</f>
      </c>
    </row>
    <row r="13" spans="1:2" x14ac:dyDescent="0.25">
      <c r="A13" s="5" t="s">
        <v>63</v>
      </c>
      <c r="B13" s="5">
        <f>COUNTIF('Anotación'!$S$2:$S$91,"espanol_general")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Anotación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2026-10-25T11:54:08Z</dcterms:created>
  <dcterms:modified xsi:type="dcterms:W3CDTF">2026-10-25T11:54:08Z</dcterms:modified>
</cp:coreProperties>
</file>